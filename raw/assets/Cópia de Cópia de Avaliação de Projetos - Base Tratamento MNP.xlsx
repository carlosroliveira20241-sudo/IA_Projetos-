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ainel_Pessoas" sheetId="2" r:id="rId6"/>
    <sheet state="visible" name="Painel_Projetos1" sheetId="3" r:id="rId7"/>
    <sheet state="visible" name="Painel_Projetos" sheetId="4" r:id="rId8"/>
    <sheet state="visible" name="Feedbacks" sheetId="5" r:id="rId9"/>
    <sheet state="visible" name="Relatório - Pedro Carneiro1" sheetId="6" r:id="rId10"/>
    <sheet state="visible" name="Relatório - Guilherme Medina" sheetId="7" r:id="rId11"/>
    <sheet state="visible" name="Relatorio_Dinamico" sheetId="8" r:id="rId12"/>
  </sheets>
  <definedNames>
    <definedName hidden="1" localSheetId="0" name="_xlnm._FilterDatabase">'Respostas ao formulário 1'!$A$1:$UI$2</definedName>
    <definedName hidden="1" localSheetId="4" name="_xlnm._FilterDatabase">Feedbacks!$A$1:$E$39</definedName>
  </definedNames>
  <calcPr/>
</workbook>
</file>

<file path=xl/sharedStrings.xml><?xml version="1.0" encoding="utf-8"?>
<sst xmlns="http://schemas.openxmlformats.org/spreadsheetml/2006/main" count="1285" uniqueCount="698">
  <si>
    <t>Carimbo de data/hora</t>
  </si>
  <si>
    <t>Endereço de e-mail</t>
  </si>
  <si>
    <t>Nome</t>
  </si>
  <si>
    <t>Selecione a sua leva de entrada:</t>
  </si>
  <si>
    <t xml:space="preserve"> Selecione o primeiro projeto do qual você faz parte:  </t>
  </si>
  <si>
    <t>DeseEq Eletrônico Sensor de Porta | Paulo André Cardoso (Gerente) [Disciplina]</t>
  </si>
  <si>
    <t>DeseEq Eletrônico Sensor de Porta | Paulo André Cardoso (Gerente) [Organização]</t>
  </si>
  <si>
    <t>DeseEq Eletrônico Sensor de Porta | Paulo André Cardoso (Gerente) [Adaptabilidade]</t>
  </si>
  <si>
    <t>DeseEq Eletrônico Sensor de Porta | Paulo André Cardoso (Gerente) [Trabalho em equipe]</t>
  </si>
  <si>
    <t>DeseEq Eletrônico Sensor de Porta | Paulo André Cardoso (Gerente) [Influência e Mobilização]</t>
  </si>
  <si>
    <t>DeseEq Eletrônico Sensor de Porta | Paulo André Cardoso (Gerente) [Comunicação Assertiva]</t>
  </si>
  <si>
    <t>DeseEq Eletrônico Sensor de Porta | Paulo André Cardoso (Gerente) [Excelência Técnica]</t>
  </si>
  <si>
    <t>DeseEq Eletrônico Sensor de Porta | Paulo André Cardoso (Gerente) [Gestão de riscos]</t>
  </si>
  <si>
    <t>DeseEq Eletrônico Sensor de Porta | Paulo André Cardoso (Gerente) [Delegar Tarefas]</t>
  </si>
  <si>
    <t>DeseEq Eletrônico Sensor de Porta | Paulo André Cardoso (Gerente) [Gestão de Pessoas]</t>
  </si>
  <si>
    <t>DeseEq Eletrônico Sensor de Porta | Paulo André Cardoso (Gerente) [Pensamento Estratégico e Holístico]</t>
  </si>
  <si>
    <t>DeseEq Eletrônico Sensor de Porta | Feedback | Paulo André Cardoso</t>
  </si>
  <si>
    <t>DeseEq Eletrônico Sensor de Porta | Matheus Xavier (Consultor) [Disciplina]</t>
  </si>
  <si>
    <t>DeseEq Eletrônico Sensor de Porta | Matheus Xavier (Consultor) [Organização]</t>
  </si>
  <si>
    <t>DeseEq Eletrônico Sensor de Porta | Matheus Xavier (Consultor) [Adaptabilidade]</t>
  </si>
  <si>
    <t>DeseEq Eletrônico Sensor de Porta | Matheus Xavier (Consultor) [Trabalho em equipe]</t>
  </si>
  <si>
    <t>DeseEq Eletrônico Sensor de Porta | Matheus Xavier (Consultor) [Influência e Mobilização]</t>
  </si>
  <si>
    <t>DeseEq Eletrônico Sensor de Porta | Matheus Xavier (Consultor) [Comunicação Assertiva]</t>
  </si>
  <si>
    <t>DeseEq Eletrônico Sensor de Porta | Matheus Xavier (Consultor) [Excelência Técnica]</t>
  </si>
  <si>
    <t>DeseEq Eletrônico Sensor de Porta | Matheus Xavier (Consultor) [Gestão de riscos]</t>
  </si>
  <si>
    <t>DeseEq Eletrônico Sensor de Porta | Matheus Xavier (Consultor) [Delegar Tarefas]</t>
  </si>
  <si>
    <t>DeseEq Eletrônico Sensor de Porta | Matheus Xavier (Consultor) [Gestão de Pessoas]</t>
  </si>
  <si>
    <t>DeseEq Eletrônico Sensor de Porta | Matheus Xavier (Consultor) [Pensamento Estratégico e Holístico]</t>
  </si>
  <si>
    <t>DeseEq Eletrônico Sensor de Porta | Feedback | Matheus Xavier</t>
  </si>
  <si>
    <t>DeseEq Eletrônico Sensor de Porta | Pedro Fonseca (Consultor) [Disciplina]</t>
  </si>
  <si>
    <t>DeseEq Eletrônico Sensor de Porta | Pedro Fonseca (Consultor) [Organização]</t>
  </si>
  <si>
    <t>DeseEq Eletrônico Sensor de Porta | Pedro Fonseca (Consultor) [Adaptabilidade]</t>
  </si>
  <si>
    <t>DeseEq Eletrônico Sensor de Porta | Pedro Fonseca (Consultor) [Trabalho em equipe]</t>
  </si>
  <si>
    <t>DeseEq Eletrônico Sensor de Porta | Pedro Fonseca (Consultor) [Influência e Mobilização]</t>
  </si>
  <si>
    <t>DeseEq Eletrônico Sensor de Porta | Pedro Fonseca (Consultor) [Comunicação Assertiva]</t>
  </si>
  <si>
    <t>DeseEq Eletrônico Sensor de Porta | Pedro Fonseca (Consultor) [Excelência Técnica]</t>
  </si>
  <si>
    <t>DeseEq Eletrônico Sensor de Porta | Pedro Fonseca (Consultor) [Gestão de riscos]</t>
  </si>
  <si>
    <t>DeseEq Eletrônico Sensor de Porta | Pedro Fonseca (Consultor) [Delegar Tarefas]</t>
  </si>
  <si>
    <t>DeseEq Eletrônico Sensor de Porta | Pedro Fonseca (Consultor) [Gestão de Pessoas]</t>
  </si>
  <si>
    <t>DeseEq Eletrônico Sensor de Porta | Pedro Fonseca (Consultor) [Pensamento Estratégico e Holístico]</t>
  </si>
  <si>
    <t>DeseEq Eletrônico Sensor de Porta | Feedback | Pedro Fonseca</t>
  </si>
  <si>
    <t>DeseEq Eletrônico Sensor de Porta | Guilherme Mendes (Consultor) [Disciplina]</t>
  </si>
  <si>
    <t>DeseEq Eletrônico Sensor de Porta | Guilherme Mendes (Consultor) [Organização]</t>
  </si>
  <si>
    <t>DeseEq Eletrônico Sensor de Porta | Guilherme Mendes (Consultor) [Adaptabilidade]</t>
  </si>
  <si>
    <t>DeseEq Eletrônico Sensor de Porta | Guilherme Mendes (Consultor) [Trabalho em equipe]</t>
  </si>
  <si>
    <t>DeseEq Eletrônico Sensor de Porta | Guilherme Mendes (Consultor) [Influência e Mobilização]</t>
  </si>
  <si>
    <t>DeseEq Eletrônico Sensor de Porta | Guilherme Mendes (Consultor) [Comunicação Assertiva]</t>
  </si>
  <si>
    <t>DeseEq Eletrônico Sensor de Porta | Guilherme Mendes (Consultor) [Excelência Técnica]</t>
  </si>
  <si>
    <t>DeseEq Eletrônico Sensor de Porta | Guilherme Mendes (Consultor) [Gestão de riscos]</t>
  </si>
  <si>
    <t>DeseEq Eletrônico Sensor de Porta | Guilherme Mendes (Consultor) [Delegar Tarefas]</t>
  </si>
  <si>
    <t>DeseEq Eletrônico Sensor de Porta | Guilherme Mendes (Consultor) [Gestão de Pessoas]</t>
  </si>
  <si>
    <t>DeseEq Eletrônico Sensor de Porta | Guilherme Mendes (Consultor) [Pensamento Estratégico e Holístico]</t>
  </si>
  <si>
    <t>DeseEq Eletrônico Sensor de Porta | Feedback | Guilherme Mendes</t>
  </si>
  <si>
    <t>DeseEq Eletrônico Sensor de Porta | Pedro Carneiro (Consultor) [Disciplina]</t>
  </si>
  <si>
    <t>DeseEq Eletrônico Sensor de Porta | Pedro Carneiro (Consultor) [Organização]</t>
  </si>
  <si>
    <t>DeseEq Eletrônico Sensor de Porta | Pedro Carneiro (Consultor) [Adaptabilidade]</t>
  </si>
  <si>
    <t>DeseEq Eletrônico Sensor de Porta | Pedro Carneiro (Consultor) [Trabalho em equipe]</t>
  </si>
  <si>
    <t>DeseEq Eletrônico Sensor de Porta | Pedro Carneiro (Consultor) [Influência e Mobilização]</t>
  </si>
  <si>
    <t>DeseEq Eletrônico Sensor de Porta | Pedro Carneiro (Consultor) [Comunicação Assertiva]</t>
  </si>
  <si>
    <t>DeseEq Eletrônico Sensor de Porta | Pedro Carneiro (Consultor) [Excelência Técnica]</t>
  </si>
  <si>
    <t>DeseEq Eletrônico Sensor de Porta | Pedro Carneiro (Consultor) [Gestão de riscos]</t>
  </si>
  <si>
    <t>DeseEq Eletrônico Sensor de Porta | Pedro Carneiro (Consultor) [Delegar Tarefas]</t>
  </si>
  <si>
    <t>DeseEq Eletrônico Sensor de Porta | Pedro Carneiro (Consultor) [Gestão de Pessoas]</t>
  </si>
  <si>
    <t>DeseEq Eletrônico Sensor de Porta | Pedro Carneiro (Consultor) [Pensamento Estratégico e Holístico]</t>
  </si>
  <si>
    <t>DeseEq Eletrônico Sensor de Porta | Feedback | Pedro Carneiro</t>
  </si>
  <si>
    <t>Próximo projeto a avaliar</t>
  </si>
  <si>
    <t>DesEq Mecânico + EP Violino | Wallison Barroso (Gerente) [Disciplina]</t>
  </si>
  <si>
    <t>DesEq Mecânico + EP Violino | Wallison Barroso (Gerente) [Organização]</t>
  </si>
  <si>
    <t>DesEq Mecânico + EP Violino | Wallison Barroso (Gerente) [Adaptabilidade]</t>
  </si>
  <si>
    <t>DesEq Mecânico + EP Violino | Wallison Barroso (Gerente) [Trabalho em equipe]</t>
  </si>
  <si>
    <t>DesEq Mecânico + EP Violino | Wallison Barroso (Gerente) [Influência e Mobilização]</t>
  </si>
  <si>
    <t>DesEq Mecânico + EP Violino | Wallison Barroso (Gerente) [Comunicação Assertiva]</t>
  </si>
  <si>
    <t>DesEq Mecânico + EP Violino | Wallison Barroso (Gerente) [Excelência Técnica]</t>
  </si>
  <si>
    <t>DesEq Mecânico + EP Violino | Wallison Barroso (Gerente) [Gestão de riscos]</t>
  </si>
  <si>
    <t>DesEq Mecânico + EP Violino | Wallison Barroso (Gerente) [Delegar Tarefas]</t>
  </si>
  <si>
    <t>DesEq Mecânico + EP Violino | Wallison Barroso (Gerente) [Gestão de Pessoas]</t>
  </si>
  <si>
    <t>DesEq Mecânico + EP Violino | Wallison Barroso (Gerente) [Pensamento Estratégico e Holístico]</t>
  </si>
  <si>
    <t>DesEq Mecânico + EP Violino | Feedback | Wallison Barroso</t>
  </si>
  <si>
    <t>DesEq Mecânico + EP Violino | Vitória Beatriz (Consultor) [Disciplina]</t>
  </si>
  <si>
    <t>DesEq Mecânico + EP Violino | Vitória Beatriz (Consultor) [Organização]</t>
  </si>
  <si>
    <t>DesEq Mecânico + EP Violino | Vitória Beatriz (Consultor) [Adaptabilidade]</t>
  </si>
  <si>
    <t>DesEq Mecânico + EP Violino | Vitória Beatriz (Consultor) [Trabalho em equipe]</t>
  </si>
  <si>
    <t>DesEq Mecânico + EP Violino | Vitória Beatriz (Consultor) [Influência e Mobilização]</t>
  </si>
  <si>
    <t>DesEq Mecânico + EP Violino | Vitória Beatriz (Consultor) [Comunicação Assertiva]</t>
  </si>
  <si>
    <t>DesEq Mecânico + EP Violino | Vitória Beatriz (Consultor) [Excelência Técnica]</t>
  </si>
  <si>
    <t>DesEq Mecânico + EP Violino | Vitória Beatriz (Consultor) [Gestão de riscos]</t>
  </si>
  <si>
    <t>DesEq Mecânico + EP Violino | Vitória Beatriz (Consultor) [Delegar Tarefas]</t>
  </si>
  <si>
    <t>DesEq Mecânico + EP Violino | Vitória Beatriz (Consultor) [Gestão de Pessoas]</t>
  </si>
  <si>
    <t>DesEq Mecânico + EP Violino | Vitória Beatriz (Consultor) [Pensamento Estratégico e Holístico]</t>
  </si>
  <si>
    <t>DesEq Mecânico + EP Violino | Feedback | Vitória Beatriz</t>
  </si>
  <si>
    <t>Próximo projeto a avaliar 2</t>
  </si>
  <si>
    <t>DesEq Eletrônico Bomba d'água | Luiz Roberto Bastos (Gerente) [Disciplina]</t>
  </si>
  <si>
    <t>DesEq Eletrônico Bomba d'água | Luiz Roberto Bastos (Gerente) [Organização]</t>
  </si>
  <si>
    <t>DesEq Eletrônico Bomba d'água | Luiz Roberto Bastos (Gerente) [Adaptabilidade]</t>
  </si>
  <si>
    <t>DesEq Eletrônico Bomba d'água | Luiz Roberto Bastos (Gerente) [Trabalho em equipe]</t>
  </si>
  <si>
    <t>DesEq Eletrônico Bomba d'água | Luiz Roberto Bastos (Gerente) [Influência e Mobilização]</t>
  </si>
  <si>
    <t>DesEq Eletrônico Bomba d'água | Luiz Roberto Bastos (Gerente) [Comunicação Assertiva]</t>
  </si>
  <si>
    <t>DesEq Eletrônico Bomba d'água | Luiz Roberto Bastos (Gerente) [Excelência Técnica]</t>
  </si>
  <si>
    <t>DesEq Eletrônico Bomba d'água | Luiz Roberto Bastos (Gerente) [Gestão de riscos]</t>
  </si>
  <si>
    <t>DesEq Eletrônico Bomba d'água | Luiz Roberto Bastos (Gerente) [Delegar Tarefas]</t>
  </si>
  <si>
    <t>DesEq Eletrônico Bomba d'água | Luiz Roberto Bastos (Gerente) [Gestão de Pessoas]</t>
  </si>
  <si>
    <t>DesEq Eletrônico Bomba d'água | Luiz Roberto Bastos (Gerente) [Pensamento Estratégico e Holístico]</t>
  </si>
  <si>
    <t>DesEq Eletrônico Bomba d'água | Feedback | Luiz Roberto Bastos</t>
  </si>
  <si>
    <t>DesEq Eletrônico Bomba d'água | Arthur Almeida (Consultor) [Disciplina]</t>
  </si>
  <si>
    <t>DesEq Eletrônico Bomba d'água | Arthur Almeida (Consultor) [Organização]</t>
  </si>
  <si>
    <t>DesEq Eletrônico Bomba d'água | Arthur Almeida (Consultor) [Adaptabilidade]</t>
  </si>
  <si>
    <t>DesEq Eletrônico Bomba d'água | Arthur Almeida (Consultor) [Trabalho em equipe]</t>
  </si>
  <si>
    <t>DesEq Eletrônico Bomba d'água | Arthur Almeida (Consultor) [Influência e Mobilização]</t>
  </si>
  <si>
    <t>DesEq Eletrônico Bomba d'água | Arthur Almeida (Consultor) [Comunicação Assertiva]</t>
  </si>
  <si>
    <t>DesEq Eletrônico Bomba d'água | Arthur Almeida (Consultor) [Excelência Técnica]</t>
  </si>
  <si>
    <t>DesEq Eletrônico Bomba d'água | Arthur Almeida (Consultor) [Gestão de riscos]</t>
  </si>
  <si>
    <t>DesEq Eletrônico Bomba d'água | Arthur Almeida (Consultor) [Delegar Tarefas]</t>
  </si>
  <si>
    <t>DesEq Eletrônico Bomba d'água | Arthur Almeida (Consultor) [Gestão de Pessoas]</t>
  </si>
  <si>
    <t>DesEq Eletrônico Bomba d'água | Arthur Almeida (Consultor) [Pensamento Estratégico e Holístico]</t>
  </si>
  <si>
    <t>DesEq Eletrônico Bomba d'água | Feedback | Arthur Almeida</t>
  </si>
  <si>
    <t>DesEq Eletrônico Bomba d'água | Gilson Batista (Consultor) [Disciplina]</t>
  </si>
  <si>
    <t>DesEq Eletrônico Bomba d'água | Gilson Batista (Consultor) [Organização]</t>
  </si>
  <si>
    <t>DesEq Eletrônico Bomba d'água | Gilson Batista (Consultor) [Adaptabilidade]</t>
  </si>
  <si>
    <t>DesEq Eletrônico Bomba d'água | Gilson Batista (Consultor) [Trabalho em equipe]</t>
  </si>
  <si>
    <t>DesEq Eletrônico Bomba d'água | Gilson Batista (Consultor) [Influência e Mobilização]</t>
  </si>
  <si>
    <t>DesEq Eletrônico Bomba d'água | Gilson Batista (Consultor) [Comunicação Assertiva]</t>
  </si>
  <si>
    <t>DesEq Eletrônico Bomba d'água | Gilson Batista (Consultor) [Excelência Técnica]</t>
  </si>
  <si>
    <t>DesEq Eletrônico Bomba d'água | Gilson Batista (Consultor) [Gestão de riscos]</t>
  </si>
  <si>
    <t>DesEq Eletrônico Bomba d'água | Gilson Batista (Consultor) [Delegar Tarefas]</t>
  </si>
  <si>
    <t>DesEq Eletrônico Bomba d'água | Gilson Batista (Consultor) [Gestão de Pessoas]</t>
  </si>
  <si>
    <t>DesEq Eletrônico Bomba d'água | Gilson Batista (Consultor) [Pensamento Estratégico e Holístico]</t>
  </si>
  <si>
    <t>DesEq Eletrônico Bomba d'água | Feedback | Gilson Batista</t>
  </si>
  <si>
    <t>Próximo projeto a avaliar 3</t>
  </si>
  <si>
    <t>DesEq Italy Pet | Eduardo Caldas (Gerente) [Disciplina]</t>
  </si>
  <si>
    <t>DesEq Italy Pet | Eduardo Caldas (Gerente) [Organização]</t>
  </si>
  <si>
    <t>DesEq Italy Pet | Eduardo Caldas (Gerente) [Adaptabilidade]</t>
  </si>
  <si>
    <t>DesEq Italy Pet | Eduardo Caldas (Gerente) [Trabalho em equipe]</t>
  </si>
  <si>
    <t>DesEq Italy Pet | Eduardo Caldas (Gerente) [Influência e Mobilização]</t>
  </si>
  <si>
    <t>DesEq Italy Pet | Eduardo Caldas (Gerente) [Comunicação Assertiva]</t>
  </si>
  <si>
    <t>DesEq Italy Pet | Eduardo Caldas (Gerente) [Excelência Técnica]</t>
  </si>
  <si>
    <t>DesEq Italy Pet | Eduardo Caldas (Gerente) [Gestão de riscos]</t>
  </si>
  <si>
    <t>DesEq Italy Pet | Eduardo Caldas (Gerente) [Delegar Tarefas]</t>
  </si>
  <si>
    <t>DesEq Italy Pet | Eduardo Caldas (Gerente) [Gestão de Pessoas]</t>
  </si>
  <si>
    <t>DesEq Italy Pet | Eduardo Caldas (Gerente) [Pensamento Estratégico e Holístico]</t>
  </si>
  <si>
    <t>DesEq Italy Pet | Feedback | Eduardo Caldas</t>
  </si>
  <si>
    <t>DesEq Italy Pet | Pedro Carneiro (Consultor) [Disciplina]</t>
  </si>
  <si>
    <t>DesEq Italy Pet | Pedro Carneiro (Consultor) [Organização]</t>
  </si>
  <si>
    <t>DesEq Italy Pet | Pedro Carneiro (Consultor) [Adaptabilidade]</t>
  </si>
  <si>
    <t>DesEq Italy Pet | Pedro Carneiro (Consultor) [Trabalho em equipe]</t>
  </si>
  <si>
    <t>DesEq Italy Pet | Pedro Carneiro (Consultor) [Influência e Mobilização]</t>
  </si>
  <si>
    <t>DesEq Italy Pet | Pedro Carneiro (Consultor) [Comunicação Assertiva]</t>
  </si>
  <si>
    <t>DesEq Italy Pet | Pedro Carneiro (Consultor) [Excelência Técnica]</t>
  </si>
  <si>
    <t>DesEq Italy Pet | Pedro Carneiro (Consultor) [Gestão de riscos]</t>
  </si>
  <si>
    <t>DesEq Italy Pet | Pedro Carneiro (Consultor) [Delegar Tarefas]</t>
  </si>
  <si>
    <t>DesEq Italy Pet | Pedro Carneiro (Consultor) [Gestão de Pessoas]</t>
  </si>
  <si>
    <t>DesEq Italy Pet | Pedro Carneiro (Consultor) [Pensamento Estratégico e Holístico]</t>
  </si>
  <si>
    <t>DesEq Italy Pet | Feedback | Pedro Carneiro</t>
  </si>
  <si>
    <t>DesEq Italy Pet | Dyonisio dos Santos (Consultor) [Disciplina]</t>
  </si>
  <si>
    <t>DesEq Italy Pet | Dyonisio dos Santos (Consultor) [Organização]</t>
  </si>
  <si>
    <t>DesEq Italy Pet | Dyonisio dos Santos (Consultor) [Adaptabilidade]</t>
  </si>
  <si>
    <t>DesEq Italy Pet | Dyonisio dos Santos (Consultor) [Trabalho em equipe]</t>
  </si>
  <si>
    <t>DesEq Italy Pet | Dyonisio dos Santos (Consultor) [Influência e Mobilização]</t>
  </si>
  <si>
    <t>DesEq Italy Pet | Dyonisio dos Santos (Consultor) [Comunicação Assertiva]</t>
  </si>
  <si>
    <t>DesEq Italy Pet | Dyonisio dos Santos (Consultor) [Excelência Técnica]</t>
  </si>
  <si>
    <t>DesEq Italy Pet | Dyonisio dos Santos (Consultor) [Gestão de riscos]</t>
  </si>
  <si>
    <t>DesEq Italy Pet | Dyonisio dos Santos (Consultor) [Delegar Tarefas]</t>
  </si>
  <si>
    <t>DesEq Italy Pet | Dyonisio dos Santos (Consultor) [Gestão de Pessoas]</t>
  </si>
  <si>
    <t>DesEq Italy Pet | Dyonisio dos Santos (Consultor) [Pensamento Estratégico e Holístico]</t>
  </si>
  <si>
    <t>DesEq Italy Pet | Feedback | Dyonisio dos Santos</t>
  </si>
  <si>
    <t>DesEq Italy Pet | Elizeu dos Santos (Consultor) [Disciplina]</t>
  </si>
  <si>
    <t>DesEq Italy Pet | Elizeu dos Santos (Consultor) [Organização]</t>
  </si>
  <si>
    <t>DesEq Italy Pet | Elizeu dos Santos (Consultor) [Adaptabilidade]</t>
  </si>
  <si>
    <t>DesEq Italy Pet | Elizeu dos Santos (Consultor) [Trabalho em equipe]</t>
  </si>
  <si>
    <t>DesEq Italy Pet | Elizeu dos Santos (Consultor) [Influência e Mobilização]</t>
  </si>
  <si>
    <t>DesEq Italy Pet | Elizeu dos Santos (Consultor) [Comunicação Assertiva]</t>
  </si>
  <si>
    <t>DesEq Italy Pet | Elizeu dos Santos (Consultor) [Excelência Técnica]</t>
  </si>
  <si>
    <t>DesEq Italy Pet | Elizeu dos Santos (Consultor) [Gestão de riscos]</t>
  </si>
  <si>
    <t>DesEq Italy Pet | Elizeu dos Santos (Consultor) [Delegar Tarefas]</t>
  </si>
  <si>
    <t>DesEq Italy Pet | Elizeu dos Santos (Consultor) [Gestão de Pessoas]</t>
  </si>
  <si>
    <t>DesEq Italy Pet | Elizeu dos Santos (Consultor) [Pensamento Estratégico e Holístico]</t>
  </si>
  <si>
    <t>DesEq Italy Pet | Feedback | Elizeu dos Santos</t>
  </si>
  <si>
    <t>DesEq Italy Pet | Heitor Alves (Consultor) [Disciplina]</t>
  </si>
  <si>
    <t>DesEq Italy Pet | Heitor Alves (Consultor) [Organização]</t>
  </si>
  <si>
    <t>DesEq Italy Pet | Heitor Alves (Consultor) [Adaptabilidade]</t>
  </si>
  <si>
    <t>DesEq Italy Pet | Heitor Alves (Consultor) [Trabalho em equipe]</t>
  </si>
  <si>
    <t>DesEq Italy Pet | Heitor Alves (Consultor) [Influência e Mobilização]</t>
  </si>
  <si>
    <t>DesEq Italy Pet | Heitor Alves (Consultor) [Comunicação Assertiva]</t>
  </si>
  <si>
    <t>DesEq Italy Pet | Heitor Alves (Consultor) [Excelência Técnica]</t>
  </si>
  <si>
    <t>DesEq Italy Pet | Heitor Alves (Consultor) [Gestão de riscos]</t>
  </si>
  <si>
    <t>DesEq Italy Pet | Heitor Alves (Consultor) [Delegar Tarefas]</t>
  </si>
  <si>
    <t>DesEq Italy Pet | Heitor Alves (Consultor) [Gestão de Pessoas]</t>
  </si>
  <si>
    <t>DesEq Italy Pet | Heitor Alves (Consultor) [Pensamento Estratégico e Holístico]</t>
  </si>
  <si>
    <t>DesEq Italy Pet | Feedback | Heitor Alves</t>
  </si>
  <si>
    <t>DesEq Italy Pet | Maria Marques (Consultor) [Disciplina]</t>
  </si>
  <si>
    <t>DesEq Italy Pet | Maria Marques (Consultor) [Organização]</t>
  </si>
  <si>
    <t>DesEq Italy Pet | Maria Marques (Consultor) [Adaptabilidade]</t>
  </si>
  <si>
    <t>DesEq Italy Pet | Maria Marques (Consultor) [Trabalho em equipe]</t>
  </si>
  <si>
    <t>DesEq Italy Pet | Maria Marques (Consultor) [Influência e Mobilização]</t>
  </si>
  <si>
    <t>DesEq Italy Pet | Maria Marques (Consultor) [Comunicação Assertiva]</t>
  </si>
  <si>
    <t>DesEq Italy Pet | Maria Marques (Consultor) [Excelência Técnica]</t>
  </si>
  <si>
    <t>DesEq Italy Pet | Maria Marques (Consultor) [Gestão de riscos]</t>
  </si>
  <si>
    <t>DesEq Italy Pet | Maria Marques (Consultor) [Delegar Tarefas]</t>
  </si>
  <si>
    <t>DesEq Italy Pet | Maria Marques (Consultor) [Gestão de Pessoas]</t>
  </si>
  <si>
    <t>DesEq Italy Pet | Maria Marques (Consultor) [Pensamento Estratégico e Holístico]</t>
  </si>
  <si>
    <t>DesEq Italy Pet | Feedback | Maria Marques</t>
  </si>
  <si>
    <t>DesEq Italy Pet | Gabriel Pinheiro (Consultor) [Disciplina]</t>
  </si>
  <si>
    <t>DesEq Italy Pet | Gabriel Pinheiro (Consultor) [Organização]</t>
  </si>
  <si>
    <t>DesEq Italy Pet | Gabriel Pinheiro (Consultor) [Adaptabilidade]</t>
  </si>
  <si>
    <t>DesEq Italy Pet | Gabriel Pinheiro (Consultor) [Trabalho em equipe]</t>
  </si>
  <si>
    <t>DesEq Italy Pet | Gabriel Pinheiro (Consultor) [Influência e Mobilização]</t>
  </si>
  <si>
    <t>DesEq Italy Pet | Gabriel Pinheiro (Consultor) [Comunicação Assertiva]</t>
  </si>
  <si>
    <t>DesEq Italy Pet | Gabriel Pinheiro (Consultor) [Excelência Técnica]</t>
  </si>
  <si>
    <t>DesEq Italy Pet | Gabriel Pinheiro (Consultor) [Gestão de riscos]</t>
  </si>
  <si>
    <t>DesEq Italy Pet | Gabriel Pinheiro (Consultor) [Delegar Tarefas]</t>
  </si>
  <si>
    <t>DesEq Italy Pet | Gabriel Pinheiro (Consultor) [Gestão de Pessoas]</t>
  </si>
  <si>
    <t>DesEq Italy Pet | Gabriel Pinheiro (Consultor) [Pensamento Estratégico e Holístico]</t>
  </si>
  <si>
    <t>DesEq Italy Pet | Feedback | Gabriel Pinheiro</t>
  </si>
  <si>
    <t>Próximo projeto a avaliar 4</t>
  </si>
  <si>
    <t>DesEq Telecom | Wallison Barroso (Gerente) [Disciplina]</t>
  </si>
  <si>
    <t>DesEq Telecom | Wallison Barroso (Gerente) [Organização]</t>
  </si>
  <si>
    <t>DesEq Telecom | Wallison Barroso (Gerente) [Adaptabilidade]</t>
  </si>
  <si>
    <t>DesEq Telecom | Wallison Barroso (Gerente) [Trabalho em equipe]</t>
  </si>
  <si>
    <t>DesEq Telecom | Wallison Barroso (Gerente) [Influência e Mobilização]</t>
  </si>
  <si>
    <t>DesEq Telecom | Wallison Barroso (Gerente) [Comunicação Assertiva]</t>
  </si>
  <si>
    <t>DesEq Telecom | Wallison Barroso (Gerente) [Excelência Técnica]</t>
  </si>
  <si>
    <t>DesEq Telecom | Wallison Barroso (Gerente) [Gestão de riscos]</t>
  </si>
  <si>
    <t>DesEq Telecom | Wallison Barroso (Gerente) [Delegar Tarefas]</t>
  </si>
  <si>
    <t>DesEq Telecom | Wallison Barroso (Gerente) [Gestão de Pessoas]</t>
  </si>
  <si>
    <t>DesEq Telecom | Wallison Barroso (Gerente) [Pensamento Estratégico e Holístico]</t>
  </si>
  <si>
    <t>DesEq Telecom | Feedback | Wallison Barroso</t>
  </si>
  <si>
    <t>DesEq Telecom | Pedro Fonseca (Consultor) [Disciplina]</t>
  </si>
  <si>
    <t>DesEq Telecom | Pedro Fonseca (Consultor) [Organização]</t>
  </si>
  <si>
    <t>DesEq Telecom | Pedro Fonseca (Consultor) [Adaptabilidade]</t>
  </si>
  <si>
    <t>DesEq Telecom | Pedro Fonseca (Consultor) [Trabalho em equipe]</t>
  </si>
  <si>
    <t>DesEq Telecom | Pedro Fonseca (Consultor) [Influência e Mobilização]</t>
  </si>
  <si>
    <t>DesEq Telecom | Pedro Fonseca (Consultor) [Comunicação Assertiva]</t>
  </si>
  <si>
    <t>DesEq Telecom | Pedro Fonseca (Consultor) [Excelência Técnica]</t>
  </si>
  <si>
    <t>DesEq Telecom | Pedro Fonseca (Consultor) [Gestão de riscos]</t>
  </si>
  <si>
    <t>DesEq Telecom | Pedro Fonseca (Consultor) [Delegar Tarefas]</t>
  </si>
  <si>
    <t>DesEq Telecom | Pedro Fonseca (Consultor) [Gestão de Pessoas]</t>
  </si>
  <si>
    <t>DesEq Telecom | Pedro Fonseca (Consultor) [Pensamento Estratégico e Holístico]</t>
  </si>
  <si>
    <t>DesEq Telecom | Feedback | Pedro Fonseca</t>
  </si>
  <si>
    <t>DesEq Telecom | Eric Heubel (Consultor) [Disciplina]</t>
  </si>
  <si>
    <t>DesEq Telecom | Eric Heubel (Consultor) [Organização]</t>
  </si>
  <si>
    <t>DesEq Telecom | Eric Heubel (Consultor) [Adaptabilidade]</t>
  </si>
  <si>
    <t>DesEq Telecom | Eric Heubel (Consultor) [Trabalho em equipe]</t>
  </si>
  <si>
    <t>DesEq Telecom | Eric Heubel (Consultor) [Influência e Mobilização]</t>
  </si>
  <si>
    <t>DesEq Telecom | Eric Heubel (Consultor) [Comunicação Assertiva]</t>
  </si>
  <si>
    <t>DesEq Telecom | Eric Heubel (Consultor) [Excelência Técnica]</t>
  </si>
  <si>
    <t>DesEq Telecom | Eric Heubel (Consultor) [Gestão de riscos]</t>
  </si>
  <si>
    <t>DesEq Telecom | Eric Heubel (Consultor) [Delegar Tarefas]</t>
  </si>
  <si>
    <t>DesEq Telecom | Eric Heubel (Consultor) [Gestão de Pessoas]</t>
  </si>
  <si>
    <t>DesEq Telecom | Eric Heubel (Consultor) [Pensamento Estratégico e Holístico]</t>
  </si>
  <si>
    <t>DesEq Telecom | Feedback | Eric Heubel</t>
  </si>
  <si>
    <t>DesEq Telecom | Jonas Pimenta (Consultor) [Disciplina]</t>
  </si>
  <si>
    <t>DesEq Telecom | Jonas Pimenta (Consultor) [Organização]</t>
  </si>
  <si>
    <t>DesEq Telecom | Jonas Pimenta (Consultor) [Adaptabilidade]</t>
  </si>
  <si>
    <t>DesEq Telecom | Jonas Pimenta (Consultor) [Trabalho em equipe]</t>
  </si>
  <si>
    <t>DesEq Telecom | Jonas Pimenta (Consultor) [Influência e Mobilização]</t>
  </si>
  <si>
    <t>DesEq Telecom | Jonas Pimenta (Consultor) [Comunicação Assertiva]</t>
  </si>
  <si>
    <t>DesEq Telecom | Jonas Pimenta (Consultor) [Excelência Técnica]</t>
  </si>
  <si>
    <t>DesEq Telecom | Jonas Pimenta (Consultor) [Gestão de riscos]</t>
  </si>
  <si>
    <t>DesEq Telecom | Jonas Pimenta (Consultor) [Delegar Tarefas]</t>
  </si>
  <si>
    <t>DesEq Telecom | Jonas Pimenta (Consultor) [Gestão de Pessoas]</t>
  </si>
  <si>
    <t>DesEq Telecom | Jonas Pimenta (Consultor) [Pensamento Estratégico e Holístico]</t>
  </si>
  <si>
    <t>DesEq Telecom | Feedback | Jonas Pimenta</t>
  </si>
  <si>
    <t>DesEq Telecom | Guilherme Medina (Consultor) [Disciplina]</t>
  </si>
  <si>
    <t>DesEq Telecom | Guilherme Medina (Consultor) [Organização]</t>
  </si>
  <si>
    <t>DesEq Telecom | Guilherme Medina (Consultor) [Adaptabilidade]</t>
  </si>
  <si>
    <t>DesEq Telecom | Guilherme Medina (Consultor) [Trabalho em equipe]</t>
  </si>
  <si>
    <t>DesEq Telecom | Guilherme Medina (Consultor) [Influência e Mobilização]</t>
  </si>
  <si>
    <t>DesEq Telecom | Guilherme Medina (Consultor) [Comunicação Assertiva]</t>
  </si>
  <si>
    <t>DesEq Telecom | Guilherme Medina (Consultor) [Excelência Técnica]</t>
  </si>
  <si>
    <t>DesEq Telecom | Guilherme Medina (Consultor) [Gestão de riscos]</t>
  </si>
  <si>
    <t>DesEq Telecom | Guilherme Medina (Consultor) [Delegar Tarefas]</t>
  </si>
  <si>
    <t>DesEq Telecom | Guilherme Medina (Consultor) [Gestão de Pessoas]</t>
  </si>
  <si>
    <t>DesEq Telecom | Guilherme Medina (Consultor) [Pensamento Estratégico e Holístico]</t>
  </si>
  <si>
    <t>DesEq Telecom | Feedback | Guilherme Medina</t>
  </si>
  <si>
    <t>DesEq Telecom | Gilson Batista (Consultor) [Disciplina]</t>
  </si>
  <si>
    <t>DesEq Telecom | Gilson Batista (Consultor) [Organização]</t>
  </si>
  <si>
    <t>DesEq Telecom | Gilson Batista (Consultor) [Adaptabilidade]</t>
  </si>
  <si>
    <t>DesEq Telecom | Gilson Batista (Consultor) [Trabalho em equipe]</t>
  </si>
  <si>
    <t>DesEq Telecom | Gilson Batista (Consultor) [Influência e Mobilização]</t>
  </si>
  <si>
    <t>DesEq Telecom | Gilson Batista (Consultor) [Comunicação Assertiva]</t>
  </si>
  <si>
    <t>DesEq Telecom | Gilson Batista (Consultor) [Excelência Técnica]</t>
  </si>
  <si>
    <t>DesEq Telecom | Gilson Batista (Consultor) [Gestão de riscos]</t>
  </si>
  <si>
    <t>DesEq Telecom | Gilson Batista (Consultor) [Delegar Tarefas]</t>
  </si>
  <si>
    <t>DesEq Telecom | Gilson Batista (Consultor) [Gestão de Pessoas]</t>
  </si>
  <si>
    <t>DesEq Telecom | Gilson Batista (Consultor) [Pensamento Estratégico e Holístico]</t>
  </si>
  <si>
    <t>DesEq Telecom | Feedback | Gilson Batista</t>
  </si>
  <si>
    <t>DesEq Telecom | Gabriel Pinheiro (Consultor) [Disciplina]</t>
  </si>
  <si>
    <t>DesEq Telecom | Gabriel Pinheiro (Consultor) [Organização]</t>
  </si>
  <si>
    <t>DesEq Telecom | Gabriel Pinheiro (Consultor) [Adaptabilidade]</t>
  </si>
  <si>
    <t>DesEq Telecom | Gabriel Pinheiro (Consultor) [Trabalho em equipe]</t>
  </si>
  <si>
    <t>DesEq Telecom | Gabriel Pinheiro (Consultor) [Influência e Mobilização]</t>
  </si>
  <si>
    <t>DesEq Telecom | Gabriel Pinheiro (Consultor) [Comunicação Assertiva]</t>
  </si>
  <si>
    <t>DesEq Telecom | Gabriel Pinheiro (Consultor) [Excelência Técnica]</t>
  </si>
  <si>
    <t>DesEq Telecom | Gabriel Pinheiro (Consultor) [Gestão de riscos]</t>
  </si>
  <si>
    <t>DesEq Telecom | Gabriel Pinheiro (Consultor) [Delegar Tarefas]</t>
  </si>
  <si>
    <t>DesEq Telecom | Gabriel Pinheiro (Consultor) [Gestão de Pessoas]</t>
  </si>
  <si>
    <t>DesEq Telecom | Gabriel Pinheiro (Consultor) [Pensamento Estratégico e Holístico]</t>
  </si>
  <si>
    <t>DesEq Telecom | Feedback | Gabriel Pinheiro</t>
  </si>
  <si>
    <t>Próximo projeto a avaliar 5</t>
  </si>
  <si>
    <t>DesEq Eletrônico Medidor de Energia | Eduardo Caldas (Gerente) [Disciplina]</t>
  </si>
  <si>
    <t>DesEq Eletrônico Medidor de Energia | Eduardo Caldas (Gerente) [Organização]</t>
  </si>
  <si>
    <t>DesEq Eletrônico Medidor de Energia | Eduardo Caldas (Gerente) [Adaptabilidade]</t>
  </si>
  <si>
    <t>DesEq Eletrônico Medidor de Energia | Eduardo Caldas (Gerente) [Trabalho em equipe]</t>
  </si>
  <si>
    <t>DesEq Eletrônico Medidor de Energia | Eduardo Caldas (Gerente) [Influência e Mobilização]</t>
  </si>
  <si>
    <t>DesEq Eletrônico Medidor de Energia | Eduardo Caldas (Gerente) [Comunicação Assertiva]</t>
  </si>
  <si>
    <t>DesEq Eletrônico Medidor de Energia | Eduardo Caldas (Gerente) [Excelência Técnica]</t>
  </si>
  <si>
    <t>DesEq Eletrônico Medidor de Energia | Eduardo Caldas (Gerente) [Gestão de riscos]</t>
  </si>
  <si>
    <t>DesEq Eletrônico Medidor de Energia | Eduardo Caldas (Gerente) [Delegar Tarefas]</t>
  </si>
  <si>
    <t>DesEq Eletrônico Medidor de Energia | Eduardo Caldas (Gerente) [Gestão de Pessoas]</t>
  </si>
  <si>
    <t>DesEq Eletrônico Medidor de Energia | Eduardo Caldas (Gerente) [Pensamento Estratégico e Holístico]</t>
  </si>
  <si>
    <t>DesEq Eletrônico Medidor de Energia | Feedback | Eduardo Caldas</t>
  </si>
  <si>
    <t>DesEq Eletrônico Medidor de Energia | Arthur Almeida (Consultor) [Disciplina]</t>
  </si>
  <si>
    <t>DesEq Eletrônico Medidor de Energia | Arthur Almeida (Consultor) [Organização]</t>
  </si>
  <si>
    <t>DesEq Eletrônico Medidor de Energia | Arthur Almeida (Consultor) [Adaptabilidade]</t>
  </si>
  <si>
    <t>DesEq Eletrônico Medidor de Energia | Arthur Almeida (Consultor) [Trabalho em equipe]</t>
  </si>
  <si>
    <t>DesEq Eletrônico Medidor de Energia | Arthur Almeida (Consultor) [Influência e Mobilização]</t>
  </si>
  <si>
    <t>DesEq Eletrônico Medidor de Energia | Arthur Almeida (Consultor) [Comunicação Assertiva]</t>
  </si>
  <si>
    <t>DesEq Eletrônico Medidor de Energia | Arthur Almeida (Consultor) [Excelência Técnica]</t>
  </si>
  <si>
    <t>DesEq Eletrônico Medidor de Energia | Arthur Almeida (Consultor) [Gestão de riscos]</t>
  </si>
  <si>
    <t>DesEq Eletrônico Medidor de Energia | Arthur Almeida (Consultor) [Delegar Tarefas]</t>
  </si>
  <si>
    <t>DesEq Eletrônico Medidor de Energia | Arthur Almeida (Consultor) [Gestão de Pessoas]</t>
  </si>
  <si>
    <t>DesEq Eletrônico Medidor de Energia | Arthur Almeida (Consultor) [Pensamento Estratégico e Holístico]</t>
  </si>
  <si>
    <t>DesEq Eletrônico Medidor de Energia | Feedback | Arthur Almeida</t>
  </si>
  <si>
    <t>DesEq Eletrônico Medidor de Energia | Igor Moniz (Consultor) [Disciplina]</t>
  </si>
  <si>
    <t>DesEq Eletrônico Medidor de Energia | Igor Moniz (Consultor) [Organização]</t>
  </si>
  <si>
    <t>DesEq Eletrônico Medidor de Energia | Igor Moniz (Consultor) [Adaptabilidade]</t>
  </si>
  <si>
    <t>DesEq Eletrônico Medidor de Energia | Igor Moniz (Consultor) [Trabalho em equipe]</t>
  </si>
  <si>
    <t>DesEq Eletrônico Medidor de Energia | Igor Moniz (Consultor) [Influência e Mobilização]</t>
  </si>
  <si>
    <t>DesEq Eletrônico Medidor de Energia | Igor Moniz (Consultor) [Comunicação Assertiva]</t>
  </si>
  <si>
    <t>DesEq Eletrônico Medidor de Energia | Igor Moniz (Consultor) [Excelência Técnica]</t>
  </si>
  <si>
    <t>DesEq Eletrônico Medidor de Energia | Igor Moniz (Consultor) [Gestão de riscos]</t>
  </si>
  <si>
    <t>DesEq Eletrônico Medidor de Energia | Igor Moniz (Consultor) [Delegar Tarefas]</t>
  </si>
  <si>
    <t>DesEq Eletrônico Medidor de Energia | Igor Moniz (Consultor) [Gestão de Pessoas]</t>
  </si>
  <si>
    <t>DesEq Eletrônico Medidor de Energia | Igor Moniz (Consultor) [Pensamento Estratégico e Holístico]</t>
  </si>
  <si>
    <t>DesEq Eletrônico Medidor de Energia | Feedback | Igor Moniz</t>
  </si>
  <si>
    <t>DesEq Eletrônico Medidor de Energia | Pedro Carneiro (Consultor) [Disciplina]</t>
  </si>
  <si>
    <t>DesEq Eletrônico Medidor de Energia | Pedro Carneiro (Consultor) [Organização]</t>
  </si>
  <si>
    <t>DesEq Eletrônico Medidor de Energia | Pedro Carneiro (Consultor) [Adaptabilidade]</t>
  </si>
  <si>
    <t>DesEq Eletrônico Medidor de Energia | Pedro Carneiro (Consultor) [Trabalho em equipe]</t>
  </si>
  <si>
    <t>DesEq Eletrônico Medidor de Energia | Pedro Carneiro (Consultor) [Influência e Mobilização]</t>
  </si>
  <si>
    <t>DesEq Eletrônico Medidor de Energia | Pedro Carneiro (Consultor) [Comunicação Assertiva]</t>
  </si>
  <si>
    <t>DesEq Eletrônico Medidor de Energia | Pedro Carneiro (Consultor) [Excelência Técnica]</t>
  </si>
  <si>
    <t>DesEq Eletrônico Medidor de Energia | Pedro Carneiro (Consultor) [Gestão de riscos]</t>
  </si>
  <si>
    <t>DesEq Eletrônico Medidor de Energia | Pedro Carneiro (Consultor) [Delegar Tarefas]</t>
  </si>
  <si>
    <t>DesEq Eletrônico Medidor de Energia | Pedro Carneiro (Consultor) [Gestão de Pessoas]</t>
  </si>
  <si>
    <t>DesEq Eletrônico Medidor de Energia | Pedro Carneiro (Consultor) [Pensamento Estratégico e Holístico]</t>
  </si>
  <si>
    <t>DesEq Eletrônico Medidor de Energia | Feedback | Pedro Carneiro</t>
  </si>
  <si>
    <t>Próximo projeto a avaliar 6</t>
  </si>
  <si>
    <t>DesEq Mecânico Bolsa de Sangue | Eduardo Caldas (Gerente) [Disciplina]</t>
  </si>
  <si>
    <t>DesEq Mecânico Bolsa de Sangue | Eduardo Caldas (Gerente) [Organização]</t>
  </si>
  <si>
    <t>DesEq Mecânico Bolsa de Sangue | Eduardo Caldas (Gerente) [Adaptabilidade]</t>
  </si>
  <si>
    <t>DesEq Mecânico Bolsa de Sangue | Eduardo Caldas (Gerente) [Trabalho em equipe]</t>
  </si>
  <si>
    <t>DesEq Mecânico Bolsa de Sangue | Eduardo Caldas (Gerente) [Influência e Mobilização]</t>
  </si>
  <si>
    <t>DesEq Mecânico Bolsa de Sangue | Eduardo Caldas (Gerente) [Comunicação Assertiva]</t>
  </si>
  <si>
    <t>DesEq Mecânico Bolsa de Sangue | Eduardo Caldas (Gerente) [Excelência Técnica]</t>
  </si>
  <si>
    <t>DesEq Mecânico Bolsa de Sangue | Eduardo Caldas (Gerente) [Gestão de riscos]</t>
  </si>
  <si>
    <t>DesEq Mecânico Bolsa de Sangue | Eduardo Caldas (Gerente) [Delegar Tarefas]</t>
  </si>
  <si>
    <t>DesEq Mecânico Bolsa de Sangue | Eduardo Caldas (Gerente) [Gestão de Pessoas]</t>
  </si>
  <si>
    <t>DesEq Mecânico Bolsa de Sangue | Eduardo Caldas (Gerente) [Pensamento Estratégico e Holístico]</t>
  </si>
  <si>
    <t>DesEq Mecânico Bolsa de Sangue | Feedback | Eduardo Caldas</t>
  </si>
  <si>
    <t>DesEq Mecânico Bolsa de Sangue | Gabriel Pinheiro (Consultor) [Disciplina]</t>
  </si>
  <si>
    <t>DesEq Mecânico Bolsa de Sangue | Gabriel Pinheiro (Consultor) [Organização]</t>
  </si>
  <si>
    <t>DesEq Mecânico Bolsa de Sangue | Gabriel Pinheiro (Consultor) [Adaptabilidade]</t>
  </si>
  <si>
    <t>DesEq Mecânico Bolsa de Sangue | Gabriel Pinheiro (Consultor) [Trabalho em equipe]</t>
  </si>
  <si>
    <t>DesEq Mecânico Bolsa de Sangue | Gabriel Pinheiro (Consultor) [Influência e Mobilização]</t>
  </si>
  <si>
    <t>DesEq Mecânico Bolsa de Sangue | Gabriel Pinheiro (Consultor) [Comunicação Assertiva]</t>
  </si>
  <si>
    <t>DesEq Mecânico Bolsa de Sangue | Gabriel Pinheiro (Consultor) [Excelência Técnica]</t>
  </si>
  <si>
    <t>DesEq Mecânico Bolsa de Sangue | Gabriel Pinheiro (Consultor) [Gestão de riscos]</t>
  </si>
  <si>
    <t>DesEq Mecânico Bolsa de Sangue | Gabriel Pinheiro (Consultor) [Delegar Tarefas]</t>
  </si>
  <si>
    <t>DesEq Mecânico Bolsa de Sangue | Gabriel Pinheiro (Consultor) [Gestão de Pessoas]</t>
  </si>
  <si>
    <t>DesEq Mecânico Bolsa de Sangue | Gabriel Pinheiro (Consultor) [Pensamento Estratégico e Holístico]</t>
  </si>
  <si>
    <t>DesEq Mecânico Bolsa de Sangue | Feedback | Gabriel Pinheiro</t>
  </si>
  <si>
    <t>DesEq Mecânico Bolsa de Sangue | Gustavo Coelho (Consultor) [Disciplina]</t>
  </si>
  <si>
    <t>DesEq Mecânico Bolsa de Sangue | Gustavo Coelho (Consultor) [Organização]</t>
  </si>
  <si>
    <t>DesEq Mecânico Bolsa de Sangue | Gustavo Coelho (Consultor) [Adaptabilidade]</t>
  </si>
  <si>
    <t>DesEq Mecânico Bolsa de Sangue | Gustavo Coelho (Consultor) [Trabalho em equipe]</t>
  </si>
  <si>
    <t>DesEq Mecânico Bolsa de Sangue | Gustavo Coelho (Consultor) [Influência e Mobilização]</t>
  </si>
  <si>
    <t>DesEq Mecânico Bolsa de Sangue | Gustavo Coelho (Consultor) [Comunicação Assertiva]</t>
  </si>
  <si>
    <t>DesEq Mecânico Bolsa de Sangue | Gustavo Coelho (Consultor) [Excelência Técnica]</t>
  </si>
  <si>
    <t>DesEq Mecânico Bolsa de Sangue | Gustavo Coelho (Consultor) [Gestão de riscos]</t>
  </si>
  <si>
    <t>DesEq Mecânico Bolsa de Sangue | Gustavo Coelho (Consultor) [Delegar Tarefas]</t>
  </si>
  <si>
    <t>DesEq Mecânico Bolsa de Sangue | Gustavo Coelho (Consultor) [Gestão de Pessoas]</t>
  </si>
  <si>
    <t>DesEq Mecânico Bolsa de Sangue | Gustavo Coelho (Consultor) [Pensamento Estratégico e Holístico]</t>
  </si>
  <si>
    <t>DesEq Mecânico Bolsa de Sangue | Feedback | Gustavo Coelho</t>
  </si>
  <si>
    <t>DesEq Mecânico Bolsa de Sangue | Guilherme Mendes (Consultor) [Disciplina]</t>
  </si>
  <si>
    <t>DesEq Mecânico Bolsa de Sangue | Guilherme Mendes (Consultor) [Organização]</t>
  </si>
  <si>
    <t>DesEq Mecânico Bolsa de Sangue | Guilherme Mendes (Consultor) [Adaptabilidade]</t>
  </si>
  <si>
    <t>DesEq Mecânico Bolsa de Sangue | Guilherme Mendes (Consultor) [Trabalho em equipe]</t>
  </si>
  <si>
    <t>DesEq Mecânico Bolsa de Sangue | Guilherme Mendes (Consultor) [Influência e Mobilização]</t>
  </si>
  <si>
    <t>DesEq Mecânico Bolsa de Sangue | Guilherme Mendes (Consultor) [Comunicação Assertiva]</t>
  </si>
  <si>
    <t>DesEq Mecânico Bolsa de Sangue | Guilherme Mendes (Consultor) [Excelência Técnica]</t>
  </si>
  <si>
    <t>DesEq Mecânico Bolsa de Sangue | Guilherme Mendes (Consultor) [Gestão de riscos]</t>
  </si>
  <si>
    <t>DesEq Mecânico Bolsa de Sangue | Guilherme Mendes (Consultor) [Delegar Tarefas]</t>
  </si>
  <si>
    <t>DesEq Mecânico Bolsa de Sangue | Guilherme Mendes (Consultor) [Gestão de Pessoas]</t>
  </si>
  <si>
    <t>DesEq Mecânico Bolsa de Sangue | Guilherme Mendes (Consultor) [Pensamento Estratégico e Holístico]</t>
  </si>
  <si>
    <t>DesEq Mecânico Bolsa de Sangue | Feedback | Guilherme Mendes</t>
  </si>
  <si>
    <t>Próximo projeto a avaliar 7</t>
  </si>
  <si>
    <t>ER  Amostras de Rochas 2.0 | Eduardo Caldas (Gerente) [Disciplina]</t>
  </si>
  <si>
    <t>ER  Amostras de Rochas 2.0 | Eduardo Caldas (Gerente) [Organização]</t>
  </si>
  <si>
    <t>ER  Amostras de Rochas 2.0 | Eduardo Caldas (Gerente) [Adaptabilidade]</t>
  </si>
  <si>
    <t>ER  Amostras de Rochas 2.0 | Eduardo Caldas (Gerente) [Trabalho em equipe]</t>
  </si>
  <si>
    <t>ER  Amostras de Rochas 2.0 | Eduardo Caldas (Gerente) [Influência e Mobilização]</t>
  </si>
  <si>
    <t>ER  Amostras de Rochas 2.0 | Eduardo Caldas (Gerente) [Comunicação Assertiva]</t>
  </si>
  <si>
    <t>ER  Amostras de Rochas 2.0 | Eduardo Caldas (Gerente) [Excelência Técnica]</t>
  </si>
  <si>
    <t>ER  Amostras de Rochas 2.0 | Eduardo Caldas (Gerente) [Gestão de riscos]</t>
  </si>
  <si>
    <t>ER  Amostras de Rochas 2.0 | Eduardo Caldas (Gerente) [Delegar Tarefas]</t>
  </si>
  <si>
    <t>ER  Amostras de Rochas 2.0 | Eduardo Caldas (Gerente) [Gestão de Pessoas]</t>
  </si>
  <si>
    <t>ER  Amostras de Rochas 2.0 | Eduardo Caldas (Gerente) [Pensamento Estratégico e Holístico]</t>
  </si>
  <si>
    <t>ER  Amostras de Rochas 2.0 | Feedback | Eduardo Caldas</t>
  </si>
  <si>
    <t>ER  Amostras de Rochas 2.0 | Rafael Gondim (Consultor) [Disciplina]</t>
  </si>
  <si>
    <t>ER  Amostras de Rochas 2.0 | Rafael Gondim (Consultor) [Organização]</t>
  </si>
  <si>
    <t>ER  Amostras de Rochas 2.0 | Rafael Gondim (Consultor) [Adaptabilidade]</t>
  </si>
  <si>
    <t>ER  Amostras de Rochas 2.0 | Rafael Gondim (Consultor) [Trabalho em equipe]</t>
  </si>
  <si>
    <t>ER  Amostras de Rochas 2.0 | Rafael Gondim (Consultor) [Influência e Mobilização]</t>
  </si>
  <si>
    <t>ER  Amostras de Rochas 2.0 | Rafael Gondim (Consultor) [Comunicação Assertiva]</t>
  </si>
  <si>
    <t>ER  Amostras de Rochas 2.0 | Rafael Gondim (Consultor) [Excelência Técnica]</t>
  </si>
  <si>
    <t>ER  Amostras de Rochas 2.0 | Rafael Gondim (Consultor) [Gestão de riscos]</t>
  </si>
  <si>
    <t>ER  Amostras de Rochas 2.0 | Rafael Gondim (Consultor) [Delegar Tarefas]</t>
  </si>
  <si>
    <t>ER  Amostras de Rochas 2.0 | Rafael Gondim (Consultor) [Gestão de Pessoas]</t>
  </si>
  <si>
    <t>ER  Amostras de Rochas 2.0 | Rafael Gondim (Consultor) [Pensamento Estratégico e Holístico]</t>
  </si>
  <si>
    <t>ER  Amostras de Rochas 2.0 | Feedback | Rafael Gondim</t>
  </si>
  <si>
    <t>ER  Amostras de Rochas 2.0 | Guilherme Mendes (Consultor) [Disciplina]</t>
  </si>
  <si>
    <t>ER  Amostras de Rochas 2.0 | Guilherme Mendes (Consultor) [Organização]</t>
  </si>
  <si>
    <t>ER  Amostras de Rochas 2.0 | Guilherme Mendes (Consultor) [Adaptabilidade]</t>
  </si>
  <si>
    <t>ER  Amostras de Rochas 2.0 | Guilherme Mendes (Consultor) [Trabalho em equipe]</t>
  </si>
  <si>
    <t>ER  Amostras de Rochas 2.0 | Guilherme Mendes (Consultor) [Influência e Mobilização]</t>
  </si>
  <si>
    <t>ER  Amostras de Rochas 2.0 | Guilherme Mendes (Consultor) [Comunicação Assertiva]</t>
  </si>
  <si>
    <t>ER  Amostras de Rochas 2.0 | Guilherme Mendes (Consultor) [Excelência Técnica]</t>
  </si>
  <si>
    <t>ER  Amostras de Rochas 2.0 | Guilherme Mendes (Consultor) [Gestão de riscos]</t>
  </si>
  <si>
    <t>ER  Amostras de Rochas 2.0 | Guilherme Mendes (Consultor) [Delegar Tarefas]</t>
  </si>
  <si>
    <t>ER  Amostras de Rochas 2.0 | Guilherme Mendes (Consultor) [Gestão de Pessoas]</t>
  </si>
  <si>
    <t>ER  Amostras de Rochas 2.0 | Guilherme Mendes (Consultor) [Pensamento Estratégico e Holístico]</t>
  </si>
  <si>
    <t>ER  Amostras de Rochas 2.0 | Feedback | Guilherme Mendes</t>
  </si>
  <si>
    <t>ER  Amostras de Rochas 2.0 | João Farah (Consultor) [Disciplina]</t>
  </si>
  <si>
    <t>ER  Amostras de Rochas 2.0 | João Farah (Consultor) [Organização]</t>
  </si>
  <si>
    <t>ER  Amostras de Rochas 2.0 | João Farah (Consultor) [Adaptabilidade]</t>
  </si>
  <si>
    <t>ER  Amostras de Rochas 2.0 | João Farah (Consultor) [Trabalho em equipe]</t>
  </si>
  <si>
    <t>ER  Amostras de Rochas 2.0 | João Farah (Consultor) [Influência e Mobilização]</t>
  </si>
  <si>
    <t>ER  Amostras de Rochas 2.0 | João Farah (Consultor) [Comunicação Assertiva]</t>
  </si>
  <si>
    <t>ER  Amostras de Rochas 2.0 | João Farah (Consultor) [Excelência Técnica]</t>
  </si>
  <si>
    <t>ER  Amostras de Rochas 2.0 | João Farah (Consultor) [Gestão de riscos]</t>
  </si>
  <si>
    <t>ER  Amostras de Rochas 2.0 | João Farah (Consultor) [Delegar Tarefas]</t>
  </si>
  <si>
    <t>ER  Amostras de Rochas 2.0 | João Farah (Consultor) [Gestão de Pessoas]</t>
  </si>
  <si>
    <t>ER  Amostras de Rochas 2.0 | João Farah (Consultor) [Pensamento Estratégico e Holístico]</t>
  </si>
  <si>
    <t>ER  Amostras de Rochas 2.0 | Feedback | João Farah</t>
  </si>
  <si>
    <t>ER  Amostras de Rochas 2.0 | Guilherme Medina (Consultor) [Disciplina]</t>
  </si>
  <si>
    <t>ER  Amostras de Rochas 2.0 | Guilherme Medina (Consultor) [Organização]</t>
  </si>
  <si>
    <t>ER  Amostras de Rochas 2.0 | Guilherme Medina (Consultor) [Adaptabilidade]</t>
  </si>
  <si>
    <t>ER  Amostras de Rochas 2.0 | Guilherme Medina (Consultor) [Trabalho em equipe]</t>
  </si>
  <si>
    <t>ER  Amostras de Rochas 2.0 | Guilherme Medina (Consultor) [Influência e Mobilização]</t>
  </si>
  <si>
    <t>ER  Amostras de Rochas 2.0 | Guilherme Medina (Consultor) [Comunicação Assertiva]</t>
  </si>
  <si>
    <t>ER  Amostras de Rochas 2.0 | Guilherme Medina (Consultor) [Excelência Técnica]</t>
  </si>
  <si>
    <t>ER  Amostras de Rochas 2.0 | Guilherme Medina (Consultor) [Gestão de riscos]</t>
  </si>
  <si>
    <t>ER  Amostras de Rochas 2.0 | Guilherme Medina (Consultor) [Delegar Tarefas]</t>
  </si>
  <si>
    <t>ER  Amostras de Rochas 2.0 | Guilherme Medina (Consultor) [Gestão de Pessoas]</t>
  </si>
  <si>
    <t>ER  Amostras de Rochas 2.0 | Guilherme Medina (Consultor) [Pensamento Estratégico e Holístico]</t>
  </si>
  <si>
    <t>ER  Amostras de Rochas 2.0 | Feedback | Guilherme Medina</t>
  </si>
  <si>
    <t>ER  Amostras de Rochas 2.0 | Pedro Carneiro (Consultor) [Disciplina]</t>
  </si>
  <si>
    <t>ER  Amostras de Rochas 2.0 | Pedro Carneiro (Consultor) [Organização]</t>
  </si>
  <si>
    <t>ER  Amostras de Rochas 2.0 | Pedro Carneiro (Consultor) [Adaptabilidade]</t>
  </si>
  <si>
    <t>ER  Amostras de Rochas 2.0 | Pedro Carneiro (Consultor) [Trabalho em equipe]</t>
  </si>
  <si>
    <t>ER  Amostras de Rochas 2.0 | Pedro Carneiro (Consultor) [Influência e Mobilização]</t>
  </si>
  <si>
    <t>ER  Amostras de Rochas 2.0 | Pedro Carneiro (Consultor) [Comunicação Assertiva]</t>
  </si>
  <si>
    <t>ER  Amostras de Rochas 2.0 | Pedro Carneiro (Consultor) [Excelência Técnica]</t>
  </si>
  <si>
    <t>ER  Amostras de Rochas 2.0 | Pedro Carneiro (Consultor) [Gestão de riscos]</t>
  </si>
  <si>
    <t>ER  Amostras de Rochas 2.0 | Pedro Carneiro (Consultor) [Delegar Tarefas]</t>
  </si>
  <si>
    <t>ER  Amostras de Rochas 2.0 | Pedro Carneiro (Consultor) [Gestão de Pessoas]</t>
  </si>
  <si>
    <t>ER  Amostras de Rochas 2.0 | Pedro Carneiro (Consultor) [Pensamento Estratégico e Holístico]</t>
  </si>
  <si>
    <t>ER  Amostras de Rochas 2.0 | Feedback | Pedro Carneiro</t>
  </si>
  <si>
    <t>ER  Amostras de Rochas 2.0 | Matheus da Silva (Consultor) [Disciplina]</t>
  </si>
  <si>
    <t>ER  Amostras de Rochas 2.0 | Matheus da Silva (Consultor) [Organização]</t>
  </si>
  <si>
    <t>ER  Amostras de Rochas 2.0 | Matheus da Silva (Consultor) [Adaptabilidade]</t>
  </si>
  <si>
    <t>ER  Amostras de Rochas 2.0 | Matheus da Silva (Consultor) [Trabalho em equipe]</t>
  </si>
  <si>
    <t>ER  Amostras de Rochas 2.0 | Matheus da Silva (Consultor) [Influência e Mobilização]</t>
  </si>
  <si>
    <t>ER  Amostras de Rochas 2.0 | Matheus da Silva (Consultor) [Comunicação Assertiva]</t>
  </si>
  <si>
    <t>ER  Amostras de Rochas 2.0 | Matheus da Silva (Consultor) [Excelência Técnica]</t>
  </si>
  <si>
    <t>ER  Amostras de Rochas 2.0 | Matheus da Silva (Consultor) [Gestão de riscos]</t>
  </si>
  <si>
    <t>ER  Amostras de Rochas 2.0 | Matheus da Silva (Consultor) [Delegar Tarefas]</t>
  </si>
  <si>
    <t>ER  Amostras de Rochas 2.0 | Matheus da Silva (Consultor) [Gestão de Pessoas]</t>
  </si>
  <si>
    <t>ER  Amostras de Rochas 2.0 | Matheus da Silva (Consultor) [Pensamento Estratégico e Holístico]</t>
  </si>
  <si>
    <t>ER  Amostras de Rochas 2.0 | Feedback | Matheus da Silva</t>
  </si>
  <si>
    <t>Próximo projeto a avaliar 8</t>
  </si>
  <si>
    <t>ER Lentes | Luise Lopes (Gerente) [Disciplina]</t>
  </si>
  <si>
    <t>ER Lentes | Luise Lopes (Gerente) [Organização]</t>
  </si>
  <si>
    <t>ER Lentes | Luise Lopes (Gerente) [Adaptabilidade]</t>
  </si>
  <si>
    <t>ER Lentes | Luise Lopes (Gerente) [Trabalho em equipe]</t>
  </si>
  <si>
    <t>ER Lentes | Luise Lopes (Gerente) [Influência e Mobilização]</t>
  </si>
  <si>
    <t>ER Lentes | Luise Lopes (Gerente) [Comunicação Assertiva]</t>
  </si>
  <si>
    <t>ER Lentes | Luise Lopes (Gerente) [Excelência Técnica]</t>
  </si>
  <si>
    <t>ER Lentes | Luise Lopes (Gerente) [Gestão de riscos]</t>
  </si>
  <si>
    <t>ER Lentes | Luise Lopes (Gerente) [Delegar Tarefas]</t>
  </si>
  <si>
    <t>ER Lentes | Luise Lopes (Gerente) [Gestão de Pessoas]</t>
  </si>
  <si>
    <t>ER Lentes | Luise Lopes (Gerente) [Pensamento Estratégico e Holístico]</t>
  </si>
  <si>
    <t>ER Lentes | Feedback | Luise Lopes</t>
  </si>
  <si>
    <t>ER Lentes | Maria Marques (Consultor) [Disciplina]</t>
  </si>
  <si>
    <t>ER Lentes | Maria Marques (Consultor) [Organização]</t>
  </si>
  <si>
    <t>ER Lentes | Maria Marques (Consultor) [Adaptabilidade]</t>
  </si>
  <si>
    <t>ER Lentes | Maria Marques (Consultor) [Trabalho em equipe]</t>
  </si>
  <si>
    <t>ER Lentes | Maria Marques (Consultor) [Influência e Mobilização]</t>
  </si>
  <si>
    <t>ER Lentes | Maria Marques (Consultor) [Comunicação Assertiva]</t>
  </si>
  <si>
    <t>ER Lentes | Maria Marques (Consultor) [Excelência Técnica]</t>
  </si>
  <si>
    <t>ER Lentes | Maria Marques (Consultor) [Gestão de riscos]</t>
  </si>
  <si>
    <t>ER Lentes | Maria Marques (Consultor) [Delegar Tarefas]</t>
  </si>
  <si>
    <t>ER Lentes | Maria Marques (Consultor) [Gestão de Pessoas]</t>
  </si>
  <si>
    <t>ER Lentes | Maria Marques (Consultor) [Pensamento Estratégico e Holístico]</t>
  </si>
  <si>
    <t>ER Lentes | Feedback | Maria Marques</t>
  </si>
  <si>
    <t>ER Lentes | Anna Júlia (Consultor) [Disciplina]</t>
  </si>
  <si>
    <t>ER Lentes | Anna Júlia (Consultor) [Organização]</t>
  </si>
  <si>
    <t>ER Lentes | Anna Júlia (Consultor) [Adaptabilidade]</t>
  </si>
  <si>
    <t>ER Lentes | Anna Júlia (Consultor) [Trabalho em equipe]</t>
  </si>
  <si>
    <t>ER Lentes | Anna Júlia (Consultor) [Influência e Mobilização]</t>
  </si>
  <si>
    <t>ER Lentes | Anna Júlia (Consultor) [Comunicação Assertiva]</t>
  </si>
  <si>
    <t>ER Lentes | Anna Júlia (Consultor) [Excelência Técnica]</t>
  </si>
  <si>
    <t>ER Lentes | Anna Júlia (Consultor) [Gestão de riscos]</t>
  </si>
  <si>
    <t>ER Lentes | Anna Júlia (Consultor) [Delegar Tarefas]</t>
  </si>
  <si>
    <t>ER Lentes | Anna Júlia (Consultor) [Gestão de Pessoas]</t>
  </si>
  <si>
    <t>ER Lentes | Anna Júlia (Consultor) [Pensamento Estratégico e Holístico]</t>
  </si>
  <si>
    <t>ER Lentes | Feedback | Anna Júlia</t>
  </si>
  <si>
    <t>Próximo projeto a avaliar 9</t>
  </si>
  <si>
    <t>DesEq Eletrônico Boia | Pedro Carneiro (Gerente) [Disciplina]</t>
  </si>
  <si>
    <t>DesEq Eletrônico Boia | Pedro Carneiro (Gerente) [Organização]</t>
  </si>
  <si>
    <t>DesEq Eletrônico Boia | Pedro Carneiro (Gerente) [Adaptabilidade]</t>
  </si>
  <si>
    <t>DesEq Eletrônico Boia | Pedro Carneiro (Gerente) [Trabalho em equipe]</t>
  </si>
  <si>
    <t>DesEq Eletrônico Boia | Pedro Carneiro (Gerente) [Influência e Mobilização]</t>
  </si>
  <si>
    <t>DesEq Eletrônico Boia | Pedro Carneiro (Gerente) [Comunicação Assertiva]</t>
  </si>
  <si>
    <t>DesEq Eletrônico Boia | Pedro Carneiro (Gerente) [Excelência Técnica]</t>
  </si>
  <si>
    <t>DesEq Eletrônico Boia | Pedro Carneiro (Gerente) [Gestão de riscos]</t>
  </si>
  <si>
    <t>DesEq Eletrônico Boia | Pedro Carneiro (Gerente) [Delegar Tarefas]</t>
  </si>
  <si>
    <t>DesEq Eletrônico Boia | Pedro Carneiro (Gerente) [Gestão de Pessoas]</t>
  </si>
  <si>
    <t>DesEq Eletrônico Boia | Pedro Carneiro (Gerente) [Pensamento Estratégico e Holístico]</t>
  </si>
  <si>
    <t>DesEq Eletrônico Boia | Feedback | Pedro Carneiro</t>
  </si>
  <si>
    <t>DesEq Eletrônico Boia | Dyonisio dos Santos (Consultor) [Disciplina]</t>
  </si>
  <si>
    <t>DesEq Eletrônico Boia | Dyonisio dos Santos (Consultor) [Organização]</t>
  </si>
  <si>
    <t>DesEq Eletrônico Boia | Dyonisio dos Santos (Consultor) [Adaptabilidade]</t>
  </si>
  <si>
    <t>DesEq Eletrônico Boia | Dyonisio dos Santos (Consultor) [Trabalho em equipe]</t>
  </si>
  <si>
    <t>DesEq Eletrônico Boia | Dyonisio dos Santos (Consultor) [Influência e Mobilização]</t>
  </si>
  <si>
    <t>DesEq Eletrônico Boia | Dyonisio dos Santos (Consultor) [Comunicação Assertiva]</t>
  </si>
  <si>
    <t>DesEq Eletrônico Boia | Dyonisio dos Santos (Consultor) [Excelência Técnica]</t>
  </si>
  <si>
    <t>DesEq Eletrônico Boia | Dyonisio dos Santos (Consultor) [Gestão de riscos]</t>
  </si>
  <si>
    <t>DesEq Eletrônico Boia | Dyonisio dos Santos (Consultor) [Delegar Tarefas]</t>
  </si>
  <si>
    <t>DesEq Eletrônico Boia | Dyonisio dos Santos (Consultor) [Gestão de Pessoas]</t>
  </si>
  <si>
    <t>DesEq Eletrônico Boia | Dyonisio dos Santos (Consultor) [Pensamento Estratégico e Holístico]</t>
  </si>
  <si>
    <t>DesEq Eletrônico Boia | Feedback | Dyonisio dos Santos</t>
  </si>
  <si>
    <t>DesEq Eletrônico Boia | Lucas Ninhaus (Consultor) [Disciplina]</t>
  </si>
  <si>
    <t>DesEq Eletrônico Boia | Lucas Ninhaus (Consultor) [Organização]</t>
  </si>
  <si>
    <t>DesEq Eletrônico Boia | Lucas Ninhaus (Consultor) [Adaptabilidade]</t>
  </si>
  <si>
    <t>DesEq Eletrônico Boia | Lucas Ninhaus (Consultor) [Trabalho em equipe]</t>
  </si>
  <si>
    <t>DesEq Eletrônico Boia | Lucas Ninhaus (Consultor) [Influência e Mobilização]</t>
  </si>
  <si>
    <t>DesEq Eletrônico Boia | Lucas Ninhaus (Consultor) [Comunicação Assertiva]</t>
  </si>
  <si>
    <t>DesEq Eletrônico Boia | Lucas Ninhaus (Consultor) [Excelência Técnica]</t>
  </si>
  <si>
    <t>DesEq Eletrônico Boia | Lucas Ninhaus (Consultor) [Gestão de riscos]</t>
  </si>
  <si>
    <t>DesEq Eletrônico Boia | Lucas Ninhaus (Consultor) [Delegar Tarefas]</t>
  </si>
  <si>
    <t>DesEq Eletrônico Boia | Lucas Ninhaus (Consultor) [Gestão de Pessoas]</t>
  </si>
  <si>
    <t>DesEq Eletrônico Boia | Lucas Ninhaus (Consultor) [Pensamento Estratégico e Holístico]</t>
  </si>
  <si>
    <t>DesEq Eletrônico Boia | Feedback | Lucas Ninhaus</t>
  </si>
  <si>
    <t>Próximo projeto a avaliar 10</t>
  </si>
  <si>
    <t>acmar.20241@poli.ufrj.br</t>
  </si>
  <si>
    <t>Anna Júlia Marques dos Santos</t>
  </si>
  <si>
    <t>24.2</t>
  </si>
  <si>
    <t>DeseEq Eletrônico Sensor de Porta</t>
  </si>
  <si>
    <t>Um feedback leal.</t>
  </si>
  <si>
    <t>osto mto de vc, amio.</t>
  </si>
  <si>
    <t>N te coneço mto bem.</t>
  </si>
  <si>
    <t>Sensores de porta devem ser bacanas</t>
  </si>
  <si>
    <t>Nao te coneço mto bem</t>
  </si>
  <si>
    <t>DesEq Mecânico + EP Violino</t>
  </si>
  <si>
    <t>Acho até que você já saiu.</t>
  </si>
  <si>
    <t>Você eu tenho certeza que já saiu.</t>
  </si>
  <si>
    <t>DesEq Eletrônico Bomba d'água</t>
  </si>
  <si>
    <t>Por que eu sinto que você já saiu?</t>
  </si>
  <si>
    <t>Também não tenho um contato muito próximo.</t>
  </si>
  <si>
    <t>Você é um querido!</t>
  </si>
  <si>
    <t>DesEq Telecom</t>
  </si>
  <si>
    <t>Você de novo.</t>
  </si>
  <si>
    <t>Oi, Pedro!</t>
  </si>
  <si>
    <t>Eu acho que Erick não é mais consultor desse projeto... (ele é DE há algum tempo)</t>
  </si>
  <si>
    <t>Jonas, tmj!</t>
  </si>
  <si>
    <t>Oi, Guilherme! Bom te ver por aqui =D</t>
  </si>
  <si>
    <t>Eu acho que lembro de você falar desse projeto quando ainda era apenas consultor e Responsável PAME.</t>
  </si>
  <si>
    <t>Oi de novo! Vou inventar que você faz um trabalho ótimo, só acho que você podia melhorar em X fazendo esse Y.</t>
  </si>
  <si>
    <t>DesEq Eletrônico Medidor de Energia</t>
  </si>
  <si>
    <t>Você é muito bom, só acho que podia medir energia melhor. Fazer que nem um termômetro só que medindo em Joule.</t>
  </si>
  <si>
    <t>Arthur, parabéns por sua evolução. Tenho nada crítico a acrescentar.</t>
  </si>
  <si>
    <t>Igor, espero que melhore nisso e aquilo dessa forma aqui. É o meu feedback construtivo.</t>
  </si>
  <si>
    <t>Pedro, acho que você está em muitos projetos ao mesmo tempo, poderia se dedicar mais à sua vida externa à Fluxo.</t>
  </si>
  <si>
    <t>DesEq Mecânico Bolsa de Sangue</t>
  </si>
  <si>
    <t>Caldas, muito boa a sua proatividade sempre (inventei legal, não conheço direito ngm aqui)</t>
  </si>
  <si>
    <t>Gabriel, acredito que você é muito bom em X mas poderia melhorar em Z. Também é bom em B. Mas para melhorar precisa de G.</t>
  </si>
  <si>
    <t>Gustavo, parabéns por tal. Melhore em tal.</t>
  </si>
  <si>
    <t>Guilherme, estou de saco cheio desse formulário já, muito ruim ter que responder tudo direto. E olha que nem estou fazendo a sério.</t>
  </si>
  <si>
    <t>ER Amostras de Rochas 2.0</t>
  </si>
  <si>
    <t>De novo, Caldas, sinceramente. Nem tenho mais o que falar.</t>
  </si>
  <si>
    <t>Só tenho elogios porque está me ajudando a coletar a psc do CNEN, VOCÊ É FERA MEU QUERIDO. Sempre acreditei desde a nossa dinâmica pra entrar no PAME. ORGULHO!</t>
  </si>
  <si>
    <t>Guilherme, é isso, né. Tamo junto, fé que entrega e é isso. Só isso.</t>
  </si>
  <si>
    <t>Olá, rocheiro! Você é do arrocha? Bateu a piadista, dsclp.</t>
  </si>
  <si>
    <t>Eu tive que voltar pq jurava que já tinha te avaliado, mas é porque tem um Mendes. Tem que resolver isso aí, escolham outros sobrenomes. Fiquei confusa, não sei a equipe.</t>
  </si>
  <si>
    <t>Já te avaliei não sei quantas vezes, colega. PARA DE TRABALHAR. JÁ DEU. VAI VIVER A VIDA, COMPADRE.</t>
  </si>
  <si>
    <t>Ooooi, Matheus!</t>
  </si>
  <si>
    <t>ER Lentes</t>
  </si>
  <si>
    <t>Que legal, não lembrava que você gerenciava e isso não tá no organograma.</t>
  </si>
  <si>
    <t>Oi, Maria! Amo um time de mulheres!</t>
  </si>
  <si>
    <t>Realmemte um time de mulheres!</t>
  </si>
  <si>
    <t>DesEq Eletrônico Boia</t>
  </si>
  <si>
    <t>Você de novo, tinha que ser. Mas não ligo, é meu último projeto avaliando eeeeeeeeee</t>
  </si>
  <si>
    <t>Vamo que vamo</t>
  </si>
  <si>
    <t>Que emoção.</t>
  </si>
  <si>
    <t>Não tenho mais projetos para avaliar</t>
  </si>
  <si>
    <t>Pessoas</t>
  </si>
  <si>
    <t>Disciplina</t>
  </si>
  <si>
    <t>Organização</t>
  </si>
  <si>
    <t>Adaptabilidade</t>
  </si>
  <si>
    <t>Trabalho em equipe</t>
  </si>
  <si>
    <t>Influência e Mobilização</t>
  </si>
  <si>
    <t>Comunicação Assertiva</t>
  </si>
  <si>
    <t>Excelência Técnica</t>
  </si>
  <si>
    <t>Gestão de riscos</t>
  </si>
  <si>
    <t>Delegar Tarefas</t>
  </si>
  <si>
    <t>Gestão de Pessoas</t>
  </si>
  <si>
    <t>Pensamento Estratégico e Holístico</t>
  </si>
  <si>
    <t>Média</t>
  </si>
  <si>
    <t>Paulo André Cardoso</t>
  </si>
  <si>
    <t>Wallison Barroso</t>
  </si>
  <si>
    <t>Luiz Roberto Bastos</t>
  </si>
  <si>
    <t>Eduardo Caldas</t>
  </si>
  <si>
    <t>Pedro Fonseca</t>
  </si>
  <si>
    <t>Gilson Batista</t>
  </si>
  <si>
    <t>João Farah</t>
  </si>
  <si>
    <t>Luise Lopes</t>
  </si>
  <si>
    <t>Pedro Carneiro</t>
  </si>
  <si>
    <t>Matheus Xavier</t>
  </si>
  <si>
    <t>Vitória Beatriz</t>
  </si>
  <si>
    <t>Arthur Almeida</t>
  </si>
  <si>
    <t>Heitor Alves</t>
  </si>
  <si>
    <t>Guilherme Medina</t>
  </si>
  <si>
    <t>Matheus da Silva</t>
  </si>
  <si>
    <t>Gabriel Pinheiro</t>
  </si>
  <si>
    <t>Rafael Gondim</t>
  </si>
  <si>
    <t>Maria Marques</t>
  </si>
  <si>
    <t>Dyonisio dos Santos</t>
  </si>
  <si>
    <t>Eric Heubel</t>
  </si>
  <si>
    <t>Igor Moniz</t>
  </si>
  <si>
    <t>Gustavo Coelho</t>
  </si>
  <si>
    <t>Guilherme Mendes</t>
  </si>
  <si>
    <t>Anna Júlia</t>
  </si>
  <si>
    <t>Lucas Ninhaus</t>
  </si>
  <si>
    <t>Elizeu dos Santos</t>
  </si>
  <si>
    <t>Jonas Pimenta</t>
  </si>
  <si>
    <t>Média do Projeto</t>
  </si>
  <si>
    <t>DesEq Italy Pet</t>
  </si>
  <si>
    <t>ER  Amostras de Rochas 2.0</t>
  </si>
  <si>
    <t>Projeto: DeseEq Eletrônico Sensor de Porta</t>
  </si>
  <si>
    <t>Projeto: DesEq Eletrônico Boia</t>
  </si>
  <si>
    <t>Resumo</t>
  </si>
  <si>
    <t>Média do projeto</t>
  </si>
  <si>
    <t>Melhor competência</t>
  </si>
  <si>
    <t>Pior competência</t>
  </si>
  <si>
    <t>Qtd. pessoas</t>
  </si>
  <si>
    <t>Competências do Projeto</t>
  </si>
  <si>
    <t>Competência</t>
  </si>
  <si>
    <t>Pessoas do Projeto</t>
  </si>
  <si>
    <t>Pessoa (Cargo)</t>
  </si>
  <si>
    <t>Consultor</t>
  </si>
  <si>
    <t>Gerente</t>
  </si>
  <si>
    <t>Projeto: DesEq Eletrônico Bomba d'água</t>
  </si>
  <si>
    <t>Projeto: DesEq Eletrônico Medidor de Energia</t>
  </si>
  <si>
    <t>Projeto: DesEq Italy Pet</t>
  </si>
  <si>
    <t>Projeto: DesEq Mecânico + EP Violino</t>
  </si>
  <si>
    <t>—</t>
  </si>
  <si>
    <t>Projeto: DesEq Mecânico Bolsa de Sangue</t>
  </si>
  <si>
    <t>Projeto: DesEq Telecom</t>
  </si>
  <si>
    <t>Projeto: ER  Amostras de Rochas 2.0</t>
  </si>
  <si>
    <t>Projeto: ER Lentes</t>
  </si>
  <si>
    <t>Timestamp</t>
  </si>
  <si>
    <t>Projeto</t>
  </si>
  <si>
    <t>Pessoa</t>
  </si>
  <si>
    <t>Papel</t>
  </si>
  <si>
    <t>Feedback</t>
  </si>
  <si>
    <t>Relatório de Avaliação de Competências</t>
  </si>
  <si>
    <t>Pessoa:</t>
  </si>
  <si>
    <t>Data:</t>
  </si>
  <si>
    <t>Média geral (1–4)</t>
  </si>
  <si>
    <t>Top 3 competências</t>
  </si>
  <si>
    <t>A desenvolver (3)</t>
  </si>
  <si>
    <t>Feedbacks (agrupados por projeto)</t>
  </si>
  <si>
    <t>Relatório Executivo de Competências</t>
  </si>
  <si>
    <t>Síntese individual com indicadores, competências prioritárias e evidências qualitativas</t>
  </si>
  <si>
    <t>Data de emissão</t>
  </si>
  <si>
    <t>Média Geral</t>
  </si>
  <si>
    <t>2.91</t>
  </si>
  <si>
    <t>Resultado consolidado na escala de 1 a 4</t>
  </si>
  <si>
    <t>Competências de Destaque</t>
  </si>
  <si>
    <t>Pontos de Desenvolvimento</t>
  </si>
  <si>
    <t>Painel Geral de Competências</t>
  </si>
  <si>
    <t>Distribuição das Competências</t>
  </si>
  <si>
    <t>Evidências Qualitativas por Projeto</t>
  </si>
  <si>
    <t>• Oi, Guilherme! Bom te ver por aqui =D</t>
  </si>
  <si>
    <t>• Eu tive que voltar pq jurava que já tinha te avaliado, mas é porque tem um Mendes. Tem que resolver isso aí, escolham outros sobrenomes. Fiquei confusa, não sei a equipe.</t>
  </si>
  <si>
    <t>3.18</t>
  </si>
  <si>
    <t>• Jonas, tmj!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</si>
</sst>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[$R$ -416]#,##0.00"/>
    <numFmt numFmtId="166" formatCode="yyyy-mm-dd"/>
    <numFmt numFmtId="167" formatCode="dd.mm"/>
    <numFmt numFmtId="168" formatCode="yyyy-mm-dd hh:mm"/>
    <numFmt numFmtId="169" formatCode="dd/mm/yyyy"/>
  </numFmts>
  <fonts count="4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Oswald"/>
    </font>
    <font>
      <b/>
      <sz val="12.0"/>
      <color rgb="FFFFFFFF"/>
      <name val="Oswald"/>
    </font>
    <font>
      <b/>
      <sz val="10.0"/>
      <color rgb="FF000000"/>
      <name val="Carme"/>
    </font>
    <font>
      <color theme="1"/>
      <name val="Carme"/>
    </font>
    <font>
      <b/>
      <sz val="10.0"/>
      <color rgb="FFFFFFFF"/>
      <name val="Arial"/>
    </font>
    <font>
      <sz val="10.0"/>
      <color theme="1"/>
      <name val="Arial"/>
    </font>
    <font/>
    <font>
      <b/>
      <sz val="10.0"/>
      <color rgb="FF6A3A3A"/>
      <name val="Arial"/>
    </font>
    <font>
      <sz val="10.0"/>
      <color rgb="FF6A3A3A"/>
      <name val="Arial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b/>
      <sz val="22.0"/>
      <color rgb="FFFFFFFF"/>
      <name val="Arial"/>
    </font>
    <font>
      <sz val="10.0"/>
      <color rgb="FF4E5D6C"/>
      <name val="Arial"/>
    </font>
    <font>
      <b/>
      <sz val="10.0"/>
      <color rgb="FF4E5D6C"/>
      <name val="Arial"/>
    </font>
    <font>
      <b/>
      <sz val="12.0"/>
      <color rgb="FF22313F"/>
      <name val="Arial"/>
    </font>
    <font>
      <sz val="10.0"/>
      <color rgb="FF22313F"/>
      <name val="Arial"/>
    </font>
    <font>
      <b/>
      <sz val="34.0"/>
      <color rgb="FF163A5F"/>
      <name val="Arial"/>
    </font>
    <font>
      <sz val="10.0"/>
      <color rgb="FF7A8793"/>
      <name val="Arial"/>
    </font>
    <font>
      <b/>
      <sz val="10.0"/>
      <color rgb="FF22313F"/>
      <name val="Arial"/>
    </font>
    <font>
      <sz val="10.0"/>
      <color rgb="FFA84E12"/>
      <name val="Arial"/>
    </font>
    <font>
      <b/>
      <sz val="13.0"/>
      <color rgb="FFFFFFFF"/>
      <name val="Arial"/>
    </font>
    <font>
      <b/>
      <sz val="10.0"/>
      <color rgb="FF163A5F"/>
      <name val="Arial"/>
    </font>
    <font>
      <b/>
      <sz val="10.0"/>
      <color rgb="FFA84E12"/>
      <name val="Arial"/>
    </font>
    <font>
      <b/>
      <sz val="10.0"/>
      <color theme="1"/>
      <name val="Arial"/>
    </font>
    <font>
      <b/>
      <sz val="13.0"/>
      <color rgb="FF22313F"/>
      <name val="Arial"/>
    </font>
    <font>
      <b/>
      <sz val="14.0"/>
      <color rgb="FFFFFFFF"/>
      <name val="Arial"/>
    </font>
    <font>
      <b/>
      <sz val="11.0"/>
      <color rgb="FF163A5F"/>
      <name val="Arial"/>
    </font>
    <font>
      <b/>
      <sz val="22.0"/>
      <color rgb="FFFFFFFF"/>
      <name val="Arial"/>
      <scheme val="minor"/>
    </font>
    <font>
      <sz val="10.0"/>
      <color rgb="FF4E5D6C"/>
      <name val="Arial"/>
      <scheme val="minor"/>
    </font>
    <font>
      <b/>
      <color rgb="FF4E5D6C"/>
      <name val="Arial"/>
      <scheme val="minor"/>
    </font>
    <font>
      <b/>
      <sz val="12.0"/>
      <color rgb="FF22313F"/>
      <name val="Arial"/>
      <scheme val="minor"/>
    </font>
    <font>
      <color rgb="FF22313F"/>
      <name val="Arial"/>
      <scheme val="minor"/>
    </font>
    <font>
      <b/>
      <color rgb="FFFFFFFF"/>
      <name val="Arial"/>
      <scheme val="minor"/>
    </font>
    <font>
      <b/>
      <sz val="34.0"/>
      <color rgb="FF163A5F"/>
      <name val="Arial"/>
      <scheme val="minor"/>
    </font>
    <font>
      <sz val="10.0"/>
      <color rgb="FF7A8793"/>
      <name val="Arial"/>
      <scheme val="minor"/>
    </font>
    <font>
      <b/>
      <color rgb="FF22313F"/>
      <name val="Arial"/>
      <scheme val="minor"/>
    </font>
    <font>
      <color rgb="FFA84E12"/>
      <name val="Arial"/>
      <scheme val="minor"/>
    </font>
    <font>
      <b/>
      <sz val="13.0"/>
      <color rgb="FFFFFFFF"/>
      <name val="Arial"/>
      <scheme val="minor"/>
    </font>
    <font>
      <b/>
      <color rgb="FF163A5F"/>
      <name val="Arial"/>
      <scheme val="minor"/>
    </font>
    <font>
      <b/>
      <sz val="13.0"/>
      <color rgb="FF22313F"/>
      <name val="Arial"/>
      <scheme val="minor"/>
    </font>
    <font>
      <b/>
      <sz val="14.0"/>
      <color rgb="FFFFFFFF"/>
      <name val="Arial"/>
      <scheme val="minor"/>
    </font>
    <font>
      <b/>
      <sz val="11.0"/>
      <color rgb="FF163A5F"/>
      <name val="Arial"/>
      <scheme val="minor"/>
    </font>
    <font>
      <sz val="10.0"/>
      <color rgb="FF22313F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6D01"/>
        <bgColor rgb="FFFF6D01"/>
      </patternFill>
    </fill>
    <fill>
      <patternFill patternType="solid">
        <fgColor rgb="FFF3F3F3"/>
        <bgColor rgb="FFF3F3F3"/>
      </patternFill>
    </fill>
    <fill>
      <patternFill patternType="solid">
        <fgColor rgb="FFB23B3B"/>
        <bgColor rgb="FFB23B3B"/>
      </patternFill>
    </fill>
    <fill>
      <patternFill patternType="solid">
        <fgColor rgb="FFC95A5A"/>
        <bgColor rgb="FFC95A5A"/>
      </patternFill>
    </fill>
    <fill>
      <patternFill patternType="solid">
        <fgColor rgb="FFFDF1F1"/>
        <bgColor rgb="FFFDF1F1"/>
      </patternFill>
    </fill>
    <fill>
      <patternFill patternType="solid">
        <fgColor rgb="FFF7D6D6"/>
        <bgColor rgb="FFF7D6D6"/>
      </patternFill>
    </fill>
    <fill>
      <patternFill patternType="solid">
        <fgColor rgb="FFFBE4E4"/>
        <bgColor rgb="FFFBE4E4"/>
      </patternFill>
    </fill>
    <fill>
      <patternFill patternType="solid">
        <fgColor rgb="FF163A5F"/>
        <bgColor rgb="FF163A5F"/>
      </patternFill>
    </fill>
    <fill>
      <patternFill patternType="solid">
        <fgColor rgb="FFF4F8FC"/>
        <bgColor rgb="FFF4F8FC"/>
      </patternFill>
    </fill>
    <fill>
      <patternFill patternType="solid">
        <fgColor rgb="FFF58332"/>
        <bgColor rgb="FFF58332"/>
      </patternFill>
    </fill>
    <fill>
      <patternFill patternType="solid">
        <fgColor rgb="FFFFF4ED"/>
        <bgColor rgb="FFFFF4ED"/>
      </patternFill>
    </fill>
    <fill>
      <patternFill patternType="solid">
        <fgColor rgb="FF1F4E79"/>
        <bgColor rgb="FF1F4E79"/>
      </patternFill>
    </fill>
    <fill>
      <patternFill patternType="solid">
        <fgColor rgb="FFEAF3FB"/>
        <bgColor rgb="FFEAF3FB"/>
      </patternFill>
    </fill>
    <fill>
      <patternFill patternType="solid">
        <fgColor rgb="FFFFE8DA"/>
        <bgColor rgb="FFFFE8DA"/>
      </patternFill>
    </fill>
    <fill>
      <patternFill patternType="solid">
        <fgColor rgb="FFF7F9FB"/>
        <bgColor rgb="FFF7F9FB"/>
      </patternFill>
    </fill>
    <fill>
      <patternFill patternType="solid">
        <fgColor rgb="FFFCFAF7"/>
        <bgColor rgb="FFFCFAF7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7C2C2"/>
      </left>
      <top style="thin">
        <color rgb="FFE7C2C2"/>
      </top>
    </border>
    <border>
      <top style="thin">
        <color rgb="FFE7C2C2"/>
      </top>
    </border>
    <border>
      <right style="thin">
        <color rgb="FFE7C2C2"/>
      </right>
      <top style="thin">
        <color rgb="FFE7C2C2"/>
      </top>
    </border>
    <border>
      <left style="thin">
        <color rgb="FFE7C2C2"/>
      </left>
    </border>
    <border>
      <right style="thin">
        <color rgb="FFE7C2C2"/>
      </right>
    </border>
    <border>
      <left style="thin">
        <color rgb="FFE7C2C2"/>
      </left>
      <bottom style="thin">
        <color rgb="FFE7C2C2"/>
      </bottom>
    </border>
    <border>
      <bottom style="thin">
        <color rgb="FFE7C2C2"/>
      </bottom>
    </border>
    <border>
      <right style="thin">
        <color rgb="FFE7C2C2"/>
      </right>
      <bottom style="thin">
        <color rgb="FFE7C2C2"/>
      </bottom>
    </border>
    <border>
      <left style="thin">
        <color rgb="FFD6DDE5"/>
      </left>
      <top style="thin">
        <color rgb="FFD6DDE5"/>
      </top>
    </border>
    <border>
      <top style="thin">
        <color rgb="FFD6DDE5"/>
      </top>
    </border>
    <border>
      <right style="thin">
        <color rgb="FFD6DDE5"/>
      </right>
      <top style="thin">
        <color rgb="FFD6DDE5"/>
      </top>
    </border>
    <border>
      <left style="thin">
        <color rgb="FFD6DDE5"/>
      </left>
      <bottom style="thin">
        <color rgb="FFD6DDE5"/>
      </bottom>
    </border>
    <border>
      <bottom style="thin">
        <color rgb="FFD6DDE5"/>
      </bottom>
    </border>
    <border>
      <right style="thin">
        <color rgb="FFD6DDE5"/>
      </right>
      <bottom style="thin">
        <color rgb="FFD6DDE5"/>
      </bottom>
    </border>
    <border>
      <left style="thin">
        <color rgb="FFD6DDE5"/>
      </left>
    </border>
    <border>
      <right style="thin">
        <color rgb="FFD6DDE5"/>
      </right>
    </border>
    <border>
      <left style="thin">
        <color rgb="FFD6DDE5"/>
      </left>
      <top style="thin">
        <color rgb="FFD6DDE5"/>
      </top>
      <bottom style="thin">
        <color rgb="FFD6DDE5"/>
      </bottom>
    </border>
    <border>
      <top style="thin">
        <color rgb="FFD6DDE5"/>
      </top>
      <bottom style="thin">
        <color rgb="FFD6DDE5"/>
      </bottom>
    </border>
    <border>
      <right style="thin">
        <color rgb="FFD6DDE5"/>
      </right>
      <top style="thin">
        <color rgb="FFD6DDE5"/>
      </top>
      <bottom style="thin">
        <color rgb="FFD6DDE5"/>
      </bottom>
    </border>
    <border>
      <left style="thin">
        <color rgb="FFE8EDF2"/>
      </left>
    </border>
    <border>
      <right style="thin">
        <color rgb="FFE8EDF2"/>
      </right>
    </border>
    <border>
      <left style="thin">
        <color rgb="FFE8EDF2"/>
      </left>
      <bottom style="thin">
        <color rgb="FFE8EDF2"/>
      </bottom>
    </border>
    <border>
      <bottom style="thin">
        <color rgb="FFE8EDF2"/>
      </bottom>
    </border>
    <border>
      <right style="thin">
        <color rgb="FFE8EDF2"/>
      </right>
      <bottom style="thin">
        <color rgb="FFE8EDF2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4" fontId="4" numFmtId="165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Font="1"/>
    <xf borderId="0" fillId="0" fontId="1" numFmtId="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3" fillId="5" fontId="5" numFmtId="0" xfId="0" applyAlignment="1" applyBorder="1" applyFill="1" applyFont="1">
      <alignment vertical="bottom"/>
    </xf>
    <xf borderId="0" fillId="6" fontId="6" numFmtId="0" xfId="0" applyAlignment="1" applyFill="1" applyFont="1">
      <alignment horizontal="left" readingOrder="0" shrinkToFit="0" vertical="center" wrapText="1"/>
    </xf>
    <xf borderId="0" fillId="0" fontId="7" numFmtId="0" xfId="0" applyFont="1"/>
    <xf borderId="4" fillId="7" fontId="6" numFmtId="0" xfId="0" applyAlignment="1" applyBorder="1" applyFill="1" applyFont="1">
      <alignment horizontal="left" readingOrder="0" shrinkToFit="0" wrapText="1"/>
    </xf>
    <xf borderId="5" fillId="0" fontId="8" numFmtId="0" xfId="0" applyBorder="1" applyFont="1"/>
    <xf borderId="6" fillId="0" fontId="8" numFmtId="0" xfId="0" applyBorder="1" applyFont="1"/>
    <xf borderId="7" fillId="8" fontId="9" numFmtId="0" xfId="0" applyAlignment="1" applyBorder="1" applyFill="1" applyFont="1">
      <alignment readingOrder="0" shrinkToFit="0" vertical="center" wrapText="1"/>
    </xf>
    <xf borderId="0" fillId="8" fontId="10" numFmtId="0" xfId="0" applyAlignment="1" applyFont="1">
      <alignment shrinkToFit="0" vertical="center" wrapText="1"/>
    </xf>
    <xf borderId="8" fillId="8" fontId="10" numFmtId="2" xfId="0" applyAlignment="1" applyBorder="1" applyFont="1" applyNumberFormat="1">
      <alignment horizontal="center" readingOrder="0" vertical="center"/>
    </xf>
    <xf borderId="0" fillId="8" fontId="10" numFmtId="0" xfId="0" applyAlignment="1" applyFont="1">
      <alignment readingOrder="0" shrinkToFit="0" vertical="center" wrapText="1"/>
    </xf>
    <xf borderId="9" fillId="8" fontId="9" numFmtId="0" xfId="0" applyAlignment="1" applyBorder="1" applyFont="1">
      <alignment readingOrder="0" shrinkToFit="0" vertical="center" wrapText="1"/>
    </xf>
    <xf borderId="10" fillId="8" fontId="10" numFmtId="0" xfId="0" applyAlignment="1" applyBorder="1" applyFont="1">
      <alignment shrinkToFit="0" vertical="center" wrapText="1"/>
    </xf>
    <xf borderId="11" fillId="8" fontId="10" numFmtId="2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7" fillId="9" fontId="9" numFmtId="0" xfId="0" applyAlignment="1" applyBorder="1" applyFill="1" applyFont="1">
      <alignment readingOrder="0" shrinkToFit="0" wrapText="1"/>
    </xf>
    <xf borderId="0" fillId="9" fontId="9" numFmtId="0" xfId="0" applyAlignment="1" applyFont="1">
      <alignment shrinkToFit="0" wrapText="1"/>
    </xf>
    <xf borderId="8" fillId="9" fontId="9" numFmtId="0" xfId="0" applyAlignment="1" applyBorder="1" applyFont="1">
      <alignment horizontal="center" readingOrder="0"/>
    </xf>
    <xf borderId="7" fillId="8" fontId="10" numFmtId="0" xfId="0" applyAlignment="1" applyBorder="1" applyFont="1">
      <alignment readingOrder="0" shrinkToFit="0" vertical="center" wrapText="1"/>
    </xf>
    <xf borderId="9" fillId="8" fontId="10" numFmtId="0" xfId="0" applyAlignment="1" applyBorder="1" applyFont="1">
      <alignment readingOrder="0" shrinkToFit="0" vertical="center" wrapText="1"/>
    </xf>
    <xf borderId="7" fillId="10" fontId="9" numFmtId="0" xfId="0" applyAlignment="1" applyBorder="1" applyFill="1" applyFont="1">
      <alignment readingOrder="0" shrinkToFit="0" wrapText="1"/>
    </xf>
    <xf borderId="0" fillId="10" fontId="9" numFmtId="0" xfId="0" applyAlignment="1" applyFont="1">
      <alignment shrinkToFit="0" wrapText="1"/>
    </xf>
    <xf borderId="8" fillId="10" fontId="9" numFmtId="0" xfId="0" applyAlignment="1" applyBorder="1" applyFont="1">
      <alignment horizontal="center" readingOrder="0"/>
    </xf>
    <xf borderId="7" fillId="2" fontId="10" numFmtId="0" xfId="0" applyAlignment="1" applyBorder="1" applyFont="1">
      <alignment readingOrder="0" shrinkToFit="0" vertical="center" wrapText="1"/>
    </xf>
    <xf borderId="0" fillId="2" fontId="10" numFmtId="0" xfId="0" applyAlignment="1" applyFont="1">
      <alignment readingOrder="0" shrinkToFit="0" vertical="center" wrapText="1"/>
    </xf>
    <xf borderId="8" fillId="2" fontId="10" numFmtId="2" xfId="0" applyAlignment="1" applyBorder="1" applyFont="1" applyNumberFormat="1">
      <alignment horizontal="center" readingOrder="0" vertical="center"/>
    </xf>
    <xf borderId="9" fillId="2" fontId="10" numFmtId="0" xfId="0" applyAlignment="1" applyBorder="1" applyFont="1">
      <alignment readingOrder="0" shrinkToFit="0" vertical="center" wrapText="1"/>
    </xf>
    <xf borderId="10" fillId="2" fontId="10" numFmtId="0" xfId="0" applyAlignment="1" applyBorder="1" applyFont="1">
      <alignment readingOrder="0" shrinkToFit="0" vertical="center" wrapText="1"/>
    </xf>
    <xf borderId="11" fillId="2" fontId="10" numFmtId="2" xfId="0" applyAlignment="1" applyBorder="1" applyFont="1" applyNumberFormat="1">
      <alignment horizontal="center" readingOrder="0" vertical="center"/>
    </xf>
    <xf borderId="8" fillId="8" fontId="10" numFmtId="2" xfId="0" applyAlignment="1" applyBorder="1" applyFont="1" applyNumberFormat="1">
      <alignment horizontal="center" vertical="center"/>
    </xf>
    <xf borderId="9" fillId="8" fontId="10" numFmtId="0" xfId="0" applyAlignment="1" applyBorder="1" applyFont="1">
      <alignment readingOrder="0" shrinkToFit="0" wrapText="1"/>
    </xf>
    <xf borderId="10" fillId="8" fontId="10" numFmtId="0" xfId="0" applyAlignment="1" applyBorder="1" applyFont="1">
      <alignment shrinkToFit="0" wrapText="1"/>
    </xf>
    <xf borderId="11" fillId="8" fontId="10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3" numFmtId="167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11" fontId="15" numFmtId="0" xfId="0" applyAlignment="1" applyFill="1" applyFont="1">
      <alignment horizontal="left" readingOrder="0" vertical="center"/>
    </xf>
    <xf borderId="0" fillId="12" fontId="16" numFmtId="0" xfId="0" applyAlignment="1" applyFill="1" applyFont="1">
      <alignment horizontal="left" readingOrder="0"/>
    </xf>
    <xf borderId="12" fillId="0" fontId="17" numFmtId="0" xfId="0" applyAlignment="1" applyBorder="1" applyFont="1">
      <alignment readingOrder="0"/>
    </xf>
    <xf borderId="13" fillId="0" fontId="8" numFmtId="0" xfId="0" applyBorder="1" applyFont="1"/>
    <xf borderId="13" fillId="0" fontId="18" numFmtId="0" xfId="0" applyAlignment="1" applyBorder="1" applyFont="1">
      <alignment readingOrder="0"/>
    </xf>
    <xf borderId="14" fillId="0" fontId="8" numFmtId="0" xfId="0" applyBorder="1" applyFont="1"/>
    <xf borderId="15" fillId="0" fontId="17" numFmtId="0" xfId="0" applyAlignment="1" applyBorder="1" applyFont="1">
      <alignment readingOrder="0"/>
    </xf>
    <xf borderId="16" fillId="0" fontId="8" numFmtId="0" xfId="0" applyBorder="1" applyFont="1"/>
    <xf borderId="16" fillId="0" fontId="19" numFmtId="169" xfId="0" applyAlignment="1" applyBorder="1" applyFont="1" applyNumberFormat="1">
      <alignment readingOrder="0"/>
    </xf>
    <xf borderId="16" fillId="0" fontId="7" numFmtId="0" xfId="0" applyBorder="1" applyFont="1"/>
    <xf borderId="17" fillId="0" fontId="7" numFmtId="0" xfId="0" applyBorder="1" applyFont="1"/>
    <xf borderId="12" fillId="13" fontId="6" numFmtId="0" xfId="0" applyAlignment="1" applyBorder="1" applyFill="1" applyFont="1">
      <alignment horizontal="center" readingOrder="0"/>
    </xf>
    <xf borderId="18" fillId="14" fontId="20" numFmtId="0" xfId="0" applyAlignment="1" applyBorder="1" applyFill="1" applyFont="1">
      <alignment horizontal="center" readingOrder="0" vertical="center"/>
    </xf>
    <xf borderId="19" fillId="0" fontId="8" numFmtId="0" xfId="0" applyBorder="1" applyFont="1"/>
    <xf borderId="18" fillId="0" fontId="8" numFmtId="0" xfId="0" applyBorder="1" applyFont="1"/>
    <xf borderId="15" fillId="0" fontId="21" numFmtId="0" xfId="0" applyAlignment="1" applyBorder="1" applyFont="1">
      <alignment horizontal="center" readingOrder="0"/>
    </xf>
    <xf borderId="17" fillId="0" fontId="8" numFmtId="0" xfId="0" applyBorder="1" applyFont="1"/>
    <xf borderId="18" fillId="14" fontId="22" numFmtId="0" xfId="0" applyAlignment="1" applyBorder="1" applyFont="1">
      <alignment readingOrder="0" vertical="center"/>
    </xf>
    <xf borderId="19" fillId="14" fontId="23" numFmtId="2" xfId="0" applyAlignment="1" applyBorder="1" applyFont="1" applyNumberFormat="1">
      <alignment horizontal="center" readingOrder="0"/>
    </xf>
    <xf borderId="15" fillId="14" fontId="22" numFmtId="0" xfId="0" applyAlignment="1" applyBorder="1" applyFont="1">
      <alignment readingOrder="0" vertical="center"/>
    </xf>
    <xf borderId="17" fillId="14" fontId="23" numFmtId="2" xfId="0" applyAlignment="1" applyBorder="1" applyFont="1" applyNumberFormat="1">
      <alignment horizontal="center" readingOrder="0"/>
    </xf>
    <xf borderId="0" fillId="15" fontId="24" numFmtId="0" xfId="0" applyAlignment="1" applyFill="1" applyFont="1">
      <alignment horizontal="left" readingOrder="0"/>
    </xf>
    <xf borderId="20" fillId="12" fontId="22" numFmtId="0" xfId="0" applyAlignment="1" applyBorder="1" applyFont="1">
      <alignment horizontal="left" readingOrder="0" vertical="center"/>
    </xf>
    <xf borderId="21" fillId="0" fontId="8" numFmtId="0" xfId="0" applyBorder="1" applyFont="1"/>
    <xf borderId="22" fillId="16" fontId="25" numFmtId="2" xfId="0" applyAlignment="1" applyBorder="1" applyFill="1" applyFont="1" applyNumberFormat="1">
      <alignment horizontal="center" readingOrder="0" vertical="center"/>
    </xf>
    <xf borderId="20" fillId="14" fontId="22" numFmtId="0" xfId="0" applyAlignment="1" applyBorder="1" applyFont="1">
      <alignment horizontal="left" readingOrder="0" vertical="center"/>
    </xf>
    <xf borderId="22" fillId="17" fontId="26" numFmtId="2" xfId="0" applyAlignment="1" applyBorder="1" applyFill="1" applyFont="1" applyNumberFormat="1">
      <alignment horizontal="center" readingOrder="0" vertical="center"/>
    </xf>
    <xf borderId="0" fillId="2" fontId="7" numFmtId="0" xfId="0" applyFont="1"/>
    <xf borderId="0" fillId="18" fontId="27" numFmtId="0" xfId="0" applyAlignment="1" applyFill="1" applyFont="1">
      <alignment readingOrder="0"/>
    </xf>
    <xf borderId="12" fillId="18" fontId="28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7" numFmtId="2" xfId="0" applyAlignment="1" applyFont="1" applyNumberFormat="1">
      <alignment readingOrder="0"/>
    </xf>
    <xf borderId="18" fillId="0" fontId="7" numFmtId="0" xfId="0" applyBorder="1" applyFont="1"/>
    <xf borderId="19" fillId="0" fontId="7" numFmtId="0" xfId="0" applyBorder="1" applyFont="1"/>
    <xf borderId="15" fillId="0" fontId="7" numFmtId="0" xfId="0" applyBorder="1" applyFont="1"/>
    <xf borderId="0" fillId="11" fontId="29" numFmtId="0" xfId="0" applyAlignment="1" applyFont="1">
      <alignment horizontal="left" readingOrder="0"/>
    </xf>
    <xf borderId="12" fillId="16" fontId="30" numFmtId="0" xfId="0" applyAlignment="1" applyBorder="1" applyFont="1">
      <alignment horizontal="left" readingOrder="0" vertical="center"/>
    </xf>
    <xf borderId="23" fillId="19" fontId="19" numFmtId="0" xfId="0" applyAlignment="1" applyBorder="1" applyFill="1" applyFont="1">
      <alignment horizontal="left" readingOrder="0" shrinkToFit="0" vertical="top" wrapText="1"/>
    </xf>
    <xf borderId="24" fillId="0" fontId="8" numFmtId="0" xfId="0" applyBorder="1" applyFont="1"/>
    <xf borderId="23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0" fillId="11" fontId="31" numFmtId="0" xfId="0" applyAlignment="1" applyFont="1">
      <alignment horizontal="left" readingOrder="0" vertical="center"/>
    </xf>
    <xf borderId="0" fillId="12" fontId="32" numFmtId="0" xfId="0" applyAlignment="1" applyFont="1">
      <alignment horizontal="left" readingOrder="0"/>
    </xf>
    <xf borderId="12" fillId="0" fontId="33" numFmtId="0" xfId="0" applyAlignment="1" applyBorder="1" applyFont="1">
      <alignment readingOrder="0"/>
    </xf>
    <xf borderId="13" fillId="0" fontId="34" numFmtId="0" xfId="0" applyAlignment="1" applyBorder="1" applyFont="1">
      <alignment readingOrder="0"/>
    </xf>
    <xf borderId="15" fillId="0" fontId="33" numFmtId="0" xfId="0" applyAlignment="1" applyBorder="1" applyFont="1">
      <alignment readingOrder="0"/>
    </xf>
    <xf borderId="16" fillId="0" fontId="35" numFmtId="169" xfId="0" applyAlignment="1" applyBorder="1" applyFont="1" applyNumberFormat="1">
      <alignment readingOrder="0"/>
    </xf>
    <xf borderId="16" fillId="0" fontId="1" numFmtId="0" xfId="0" applyBorder="1" applyFont="1"/>
    <xf borderId="17" fillId="0" fontId="1" numFmtId="0" xfId="0" applyBorder="1" applyFont="1"/>
    <xf borderId="12" fillId="13" fontId="36" numFmtId="0" xfId="0" applyAlignment="1" applyBorder="1" applyFont="1">
      <alignment horizontal="center" readingOrder="0"/>
    </xf>
    <xf borderId="18" fillId="14" fontId="37" numFmtId="0" xfId="0" applyAlignment="1" applyBorder="1" applyFont="1">
      <alignment horizontal="center" readingOrder="0" vertical="center"/>
    </xf>
    <xf borderId="15" fillId="0" fontId="38" numFmtId="0" xfId="0" applyAlignment="1" applyBorder="1" applyFont="1">
      <alignment horizontal="center" readingOrder="0"/>
    </xf>
    <xf borderId="18" fillId="14" fontId="39" numFmtId="0" xfId="0" applyAlignment="1" applyBorder="1" applyFont="1">
      <alignment readingOrder="0" vertical="center"/>
    </xf>
    <xf borderId="19" fillId="14" fontId="40" numFmtId="2" xfId="0" applyAlignment="1" applyBorder="1" applyFont="1" applyNumberFormat="1">
      <alignment horizontal="center" readingOrder="0"/>
    </xf>
    <xf borderId="15" fillId="14" fontId="39" numFmtId="0" xfId="0" applyAlignment="1" applyBorder="1" applyFont="1">
      <alignment readingOrder="0" vertical="center"/>
    </xf>
    <xf borderId="17" fillId="14" fontId="40" numFmtId="2" xfId="0" applyAlignment="1" applyBorder="1" applyFont="1" applyNumberFormat="1">
      <alignment horizontal="center" readingOrder="0"/>
    </xf>
    <xf borderId="0" fillId="15" fontId="41" numFmtId="0" xfId="0" applyAlignment="1" applyFont="1">
      <alignment horizontal="left" readingOrder="0"/>
    </xf>
    <xf borderId="20" fillId="12" fontId="39" numFmtId="0" xfId="0" applyAlignment="1" applyBorder="1" applyFont="1">
      <alignment horizontal="left" readingOrder="0" vertical="center"/>
    </xf>
    <xf borderId="22" fillId="16" fontId="42" numFmtId="2" xfId="0" applyAlignment="1" applyBorder="1" applyFont="1" applyNumberFormat="1">
      <alignment horizontal="center" readingOrder="0" vertical="center"/>
    </xf>
    <xf borderId="0" fillId="2" fontId="1" numFmtId="0" xfId="0" applyFont="1"/>
    <xf borderId="0" fillId="18" fontId="11" numFmtId="0" xfId="0" applyAlignment="1" applyFont="1">
      <alignment readingOrder="0"/>
    </xf>
    <xf borderId="12" fillId="18" fontId="43" numFmtId="0" xfId="0" applyAlignment="1" applyBorder="1" applyFont="1">
      <alignment readingOrder="0"/>
    </xf>
    <xf borderId="18" fillId="0" fontId="1" numFmtId="0" xfId="0" applyBorder="1" applyFont="1"/>
    <xf borderId="19" fillId="0" fontId="1" numFmtId="0" xfId="0" applyBorder="1" applyFont="1"/>
    <xf borderId="15" fillId="0" fontId="1" numFmtId="0" xfId="0" applyBorder="1" applyFont="1"/>
    <xf borderId="0" fillId="11" fontId="44" numFmtId="0" xfId="0" applyAlignment="1" applyFont="1">
      <alignment horizontal="left" readingOrder="0"/>
    </xf>
    <xf borderId="12" fillId="16" fontId="45" numFmtId="0" xfId="0" applyAlignment="1" applyBorder="1" applyFont="1">
      <alignment horizontal="left" readingOrder="0" vertical="center"/>
    </xf>
    <xf borderId="23" fillId="19" fontId="46" numFmtId="0" xfId="0" applyAlignment="1" applyBorder="1" applyFont="1">
      <alignment horizontal="left" readingOrder="0" shrinkToFit="0" vertical="top" wrapText="1"/>
    </xf>
    <xf borderId="0" fillId="0" fontId="1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Radar — Médias por competência (1–4)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'Relatório - Pedro Carneiro1'!$A$12:$A$24</c:f>
            </c:strRef>
          </c:cat>
          <c:val>
            <c:numRef>
              <c:f>'Relatório - Pedro Carneiro1'!$B$12:$B$24</c:f>
              <c:numCache/>
            </c:numRef>
          </c:val>
          <c:smooth val="1"/>
        </c:ser>
        <c:axId val="1207434930"/>
        <c:axId val="662829794"/>
      </c:radarChart>
      <c:catAx>
        <c:axId val="1207434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829794"/>
      </c:catAx>
      <c:valAx>
        <c:axId val="662829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434930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'Relatório - Guilherme Medina'!$A$30:$A$41</c:f>
            </c:strRef>
          </c:cat>
          <c:val>
            <c:numRef>
              <c:f>'Relatório - Guilherme Medina'!$B$30:$B$41</c:f>
              <c:numCache/>
            </c:numRef>
          </c:val>
          <c:smooth val="1"/>
        </c:ser>
        <c:axId val="66393761"/>
        <c:axId val="1603898696"/>
      </c:radarChart>
      <c:catAx>
        <c:axId val="66393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898696"/>
      </c:catAx>
      <c:valAx>
        <c:axId val="1603898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93761"/>
      </c:valAx>
    </c:plotArea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Relatorio_Dinamico!$A$33:$A$44</c:f>
            </c:strRef>
          </c:cat>
          <c:val>
            <c:numRef>
              <c:f>Relatorio_Dinamico!$B$33:$B$44</c:f>
              <c:numCache/>
            </c:numRef>
          </c:val>
          <c:smooth val="1"/>
        </c:ser>
        <c:axId val="1897320159"/>
        <c:axId val="1642488206"/>
      </c:radarChart>
      <c:catAx>
        <c:axId val="189732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488206"/>
      </c:catAx>
      <c:valAx>
        <c:axId val="1642488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320159"/>
      </c:valAx>
    </c:plotArea>
  </c:chart>
  <c:spPr>
    <a:solidFill>
      <a:srgbClr val="FFFFFF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1800225</xdr:colOff>
      <xdr:row>11</xdr:row>
      <xdr:rowOff>152400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30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33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I2" displayName="Form_Responses" name="Form_Responses" id="1">
  <autoFilter ref="$A$1:$UI$2"/>
  <tableColumns count="555">
    <tableColumn name="Carimbo de data/hora" id="1"/>
    <tableColumn name="Endereço de e-mail" id="2"/>
    <tableColumn name="Nome" id="3"/>
    <tableColumn name="Selecione a sua leva de entrada:" id="4"/>
    <tableColumn name=" Selecione o primeiro projeto do qual você faz parte:  " id="5"/>
    <tableColumn name="DeseEq Eletrônico Sensor de Porta | Paulo André Cardoso (Gerente) [Disciplina]" id="6"/>
    <tableColumn name="DeseEq Eletrônico Sensor de Porta | Paulo André Cardoso (Gerente) [Organização]" id="7"/>
    <tableColumn name="DeseEq Eletrônico Sensor de Porta | Paulo André Cardoso (Gerente) [Adaptabilidade]" id="8"/>
    <tableColumn name="DeseEq Eletrônico Sensor de Porta | Paulo André Cardoso (Gerente) [Trabalho em equipe]" id="9"/>
    <tableColumn name="DeseEq Eletrônico Sensor de Porta | Paulo André Cardoso (Gerente) [Influência e Mobilização]" id="10"/>
    <tableColumn name="DeseEq Eletrônico Sensor de Porta | Paulo André Cardoso (Gerente) [Comunicação Assertiva]" id="11"/>
    <tableColumn name="DeseEq Eletrônico Sensor de Porta | Paulo André Cardoso (Gerente) [Excelência Técnica]" id="12"/>
    <tableColumn name="DeseEq Eletrônico Sensor de Porta | Paulo André Cardoso (Gerente) [Gestão de riscos]" id="13"/>
    <tableColumn name="DeseEq Eletrônico Sensor de Porta | Paulo André Cardoso (Gerente) [Delegar Tarefas]" id="14"/>
    <tableColumn name="DeseEq Eletrônico Sensor de Porta | Paulo André Cardoso (Gerente) [Gestão de Pessoas]" id="15"/>
    <tableColumn name="DeseEq Eletrônico Sensor de Porta | Paulo André Cardoso (Gerente) [Pensamento Estratégico e Holístico]" id="16"/>
    <tableColumn name="DeseEq Eletrônico Sensor de Porta | Feedback | Paulo André Cardoso" id="17"/>
    <tableColumn name="DeseEq Eletrônico Sensor de Porta | Matheus Xavier (Consultor) [Disciplina]" id="18"/>
    <tableColumn name="DeseEq Eletrônico Sensor de Porta | Matheus Xavier (Consultor) [Organização]" id="19"/>
    <tableColumn name="DeseEq Eletrônico Sensor de Porta | Matheus Xavier (Consultor) [Adaptabilidade]" id="20"/>
    <tableColumn name="DeseEq Eletrônico Sensor de Porta | Matheus Xavier (Consultor) [Trabalho em equipe]" id="21"/>
    <tableColumn name="DeseEq Eletrônico Sensor de Porta | Matheus Xavier (Consultor) [Influência e Mobilização]" id="22"/>
    <tableColumn name="DeseEq Eletrônico Sensor de Porta | Matheus Xavier (Consultor) [Comunicação Assertiva]" id="23"/>
    <tableColumn name="DeseEq Eletrônico Sensor de Porta | Matheus Xavier (Consultor) [Excelência Técnica]" id="24"/>
    <tableColumn name="DeseEq Eletrônico Sensor de Porta | Matheus Xavier (Consultor) [Gestão de riscos]" id="25"/>
    <tableColumn name="DeseEq Eletrônico Sensor de Porta | Matheus Xavier (Consultor) [Delegar Tarefas]" id="26"/>
    <tableColumn name="DeseEq Eletrônico Sensor de Porta | Matheus Xavier (Consultor) [Gestão de Pessoas]" id="27"/>
    <tableColumn name="DeseEq Eletrônico Sensor de Porta | Matheus Xavier (Consultor) [Pensamento Estratégico e Holístico]" id="28"/>
    <tableColumn name="DeseEq Eletrônico Sensor de Porta | Feedback | Matheus Xavier" id="29"/>
    <tableColumn name="DeseEq Eletrônico Sensor de Porta | Pedro Fonseca (Consultor) [Disciplina]" id="30"/>
    <tableColumn name="DeseEq Eletrônico Sensor de Porta | Pedro Fonseca (Consultor) [Organização]" id="31"/>
    <tableColumn name="DeseEq Eletrônico Sensor de Porta | Pedro Fonseca (Consultor) [Adaptabilidade]" id="32"/>
    <tableColumn name="DeseEq Eletrônico Sensor de Porta | Pedro Fonseca (Consultor) [Trabalho em equipe]" id="33"/>
    <tableColumn name="DeseEq Eletrônico Sensor de Porta | Pedro Fonseca (Consultor) [Influência e Mobilização]" id="34"/>
    <tableColumn name="DeseEq Eletrônico Sensor de Porta | Pedro Fonseca (Consultor) [Comunicação Assertiva]" id="35"/>
    <tableColumn name="DeseEq Eletrônico Sensor de Porta | Pedro Fonseca (Consultor) [Excelência Técnica]" id="36"/>
    <tableColumn name="DeseEq Eletrônico Sensor de Porta | Pedro Fonseca (Consultor) [Gestão de riscos]" id="37"/>
    <tableColumn name="DeseEq Eletrônico Sensor de Porta | Pedro Fonseca (Consultor) [Delegar Tarefas]" id="38"/>
    <tableColumn name="DeseEq Eletrônico Sensor de Porta | Pedro Fonseca (Consultor) [Gestão de Pessoas]" id="39"/>
    <tableColumn name="DeseEq Eletrônico Sensor de Porta | Pedro Fonseca (Consultor) [Pensamento Estratégico e Holístico]" id="40"/>
    <tableColumn name="DeseEq Eletrônico Sensor de Porta | Feedback | Pedro Fonseca" id="41"/>
    <tableColumn name="DeseEq Eletrônico Sensor de Porta | Guilherme Mendes (Consultor) [Disciplina]" id="42"/>
    <tableColumn name="DeseEq Eletrônico Sensor de Porta | Guilherme Mendes (Consultor) [Organização]" id="43"/>
    <tableColumn name="DeseEq Eletrônico Sensor de Porta | Guilherme Mendes (Consultor) [Adaptabilidade]" id="44"/>
    <tableColumn name="DeseEq Eletrônico Sensor de Porta | Guilherme Mendes (Consultor) [Trabalho em equipe]" id="45"/>
    <tableColumn name="DeseEq Eletrônico Sensor de Porta | Guilherme Mendes (Consultor) [Influência e Mobilização]" id="46"/>
    <tableColumn name="DeseEq Eletrônico Sensor de Porta | Guilherme Mendes (Consultor) [Comunicação Assertiva]" id="47"/>
    <tableColumn name="DeseEq Eletrônico Sensor de Porta | Guilherme Mendes (Consultor) [Excelência Técnica]" id="48"/>
    <tableColumn name="DeseEq Eletrônico Sensor de Porta | Guilherme Mendes (Consultor) [Gestão de riscos]" id="49"/>
    <tableColumn name="DeseEq Eletrônico Sensor de Porta | Guilherme Mendes (Consultor) [Delegar Tarefas]" id="50"/>
    <tableColumn name="DeseEq Eletrônico Sensor de Porta | Guilherme Mendes (Consultor) [Gestão de Pessoas]" id="51"/>
    <tableColumn name="DeseEq Eletrônico Sensor de Porta | Guilherme Mendes (Consultor) [Pensamento Estratégico e Holístico]" id="52"/>
    <tableColumn name="DeseEq Eletrônico Sensor de Porta | Feedback | Guilherme Mendes" id="53"/>
    <tableColumn name="DeseEq Eletrônico Sensor de Porta | Pedro Carneiro (Consultor) [Disciplina]" id="54"/>
    <tableColumn name="DeseEq Eletrônico Sensor de Porta | Pedro Carneiro (Consultor) [Organização]" id="55"/>
    <tableColumn name="DeseEq Eletrônico Sensor de Porta | Pedro Carneiro (Consultor) [Adaptabilidade]" id="56"/>
    <tableColumn name="DeseEq Eletrônico Sensor de Porta | Pedro Carneiro (Consultor) [Trabalho em equipe]" id="57"/>
    <tableColumn name="DeseEq Eletrônico Sensor de Porta | Pedro Carneiro (Consultor) [Influência e Mobilização]" id="58"/>
    <tableColumn name="DeseEq Eletrônico Sensor de Porta | Pedro Carneiro (Consultor) [Comunicação Assertiva]" id="59"/>
    <tableColumn name="DeseEq Eletrônico Sensor de Porta | Pedro Carneiro (Consultor) [Excelência Técnica]" id="60"/>
    <tableColumn name="DeseEq Eletrônico Sensor de Porta | Pedro Carneiro (Consultor) [Gestão de riscos]" id="61"/>
    <tableColumn name="DeseEq Eletrônico Sensor de Porta | Pedro Carneiro (Consultor) [Delegar Tarefas]" id="62"/>
    <tableColumn name="DeseEq Eletrônico Sensor de Porta | Pedro Carneiro (Consultor) [Gestão de Pessoas]" id="63"/>
    <tableColumn name="DeseEq Eletrônico Sensor de Porta | Pedro Carneiro (Consultor) [Pensamento Estratégico e Holístico]" id="64"/>
    <tableColumn name="DeseEq Eletrônico Sensor de Porta | Feedback | Pedro Carneiro" id="65"/>
    <tableColumn name="Próximo projeto a avaliar" id="66"/>
    <tableColumn name="DesEq Mecânico + EP Violino | Wallison Barroso (Gerente) [Disciplina]" id="67"/>
    <tableColumn name="DesEq Mecânico + EP Violino | Wallison Barroso (Gerente) [Organização]" id="68"/>
    <tableColumn name="DesEq Mecânico + EP Violino | Wallison Barroso (Gerente) [Adaptabilidade]" id="69"/>
    <tableColumn name="DesEq Mecânico + EP Violino | Wallison Barroso (Gerente) [Trabalho em equipe]" id="70"/>
    <tableColumn name="DesEq Mecânico + EP Violino | Wallison Barroso (Gerente) [Influência e Mobilização]" id="71"/>
    <tableColumn name="DesEq Mecânico + EP Violino | Wallison Barroso (Gerente) [Comunicação Assertiva]" id="72"/>
    <tableColumn name="DesEq Mecânico + EP Violino | Wallison Barroso (Gerente) [Excelência Técnica]" id="73"/>
    <tableColumn name="DesEq Mecânico + EP Violino | Wallison Barroso (Gerente) [Gestão de riscos]" id="74"/>
    <tableColumn name="DesEq Mecânico + EP Violino | Wallison Barroso (Gerente) [Delegar Tarefas]" id="75"/>
    <tableColumn name="DesEq Mecânico + EP Violino | Wallison Barroso (Gerente) [Gestão de Pessoas]" id="76"/>
    <tableColumn name="DesEq Mecânico + EP Violino | Wallison Barroso (Gerente) [Pensamento Estratégico e Holístico]" id="77"/>
    <tableColumn name="DesEq Mecânico + EP Violino | Feedback | Wallison Barroso" id="78"/>
    <tableColumn name="DesEq Mecânico + EP Violino | Vitória Beatriz (Consultor) [Disciplina]" id="79"/>
    <tableColumn name="DesEq Mecânico + EP Violino | Vitória Beatriz (Consultor) [Organização]" id="80"/>
    <tableColumn name="DesEq Mecânico + EP Violino | Vitória Beatriz (Consultor) [Adaptabilidade]" id="81"/>
    <tableColumn name="DesEq Mecânico + EP Violino | Vitória Beatriz (Consultor) [Trabalho em equipe]" id="82"/>
    <tableColumn name="DesEq Mecânico + EP Violino | Vitória Beatriz (Consultor) [Influência e Mobilização]" id="83"/>
    <tableColumn name="DesEq Mecânico + EP Violino | Vitória Beatriz (Consultor) [Comunicação Assertiva]" id="84"/>
    <tableColumn name="DesEq Mecânico + EP Violino | Vitória Beatriz (Consultor) [Excelência Técnica]" id="85"/>
    <tableColumn name="DesEq Mecânico + EP Violino | Vitória Beatriz (Consultor) [Gestão de riscos]" id="86"/>
    <tableColumn name="DesEq Mecânico + EP Violino | Vitória Beatriz (Consultor) [Delegar Tarefas]" id="87"/>
    <tableColumn name="DesEq Mecânico + EP Violino | Vitória Beatriz (Consultor) [Gestão de Pessoas]" id="88"/>
    <tableColumn name="DesEq Mecânico + EP Violino | Vitória Beatriz (Consultor) [Pensamento Estratégico e Holístico]" id="89"/>
    <tableColumn name="DesEq Mecânico + EP Violino | Feedback | Vitória Beatriz" id="90"/>
    <tableColumn name="Próximo projeto a avaliar 2" id="91"/>
    <tableColumn name="DesEq Eletrônico Bomba d'água | Luiz Roberto Bastos (Gerente) [Disciplina]" id="92"/>
    <tableColumn name="DesEq Eletrônico Bomba d'água | Luiz Roberto Bastos (Gerente) [Organização]" id="93"/>
    <tableColumn name="DesEq Eletrônico Bomba d'água | Luiz Roberto Bastos (Gerente) [Adaptabilidade]" id="94"/>
    <tableColumn name="DesEq Eletrônico Bomba d'água | Luiz Roberto Bastos (Gerente) [Trabalho em equipe]" id="95"/>
    <tableColumn name="DesEq Eletrônico Bomba d'água | Luiz Roberto Bastos (Gerente) [Influência e Mobilização]" id="96"/>
    <tableColumn name="DesEq Eletrônico Bomba d'água | Luiz Roberto Bastos (Gerente) [Comunicação Assertiva]" id="97"/>
    <tableColumn name="DesEq Eletrônico Bomba d'água | Luiz Roberto Bastos (Gerente) [Excelência Técnica]" id="98"/>
    <tableColumn name="DesEq Eletrônico Bomba d'água | Luiz Roberto Bastos (Gerente) [Gestão de riscos]" id="99"/>
    <tableColumn name="DesEq Eletrônico Bomba d'água | Luiz Roberto Bastos (Gerente) [Delegar Tarefas]" id="100"/>
    <tableColumn name="DesEq Eletrônico Bomba d'água | Luiz Roberto Bastos (Gerente) [Gestão de Pessoas]" id="101"/>
    <tableColumn name="DesEq Eletrônico Bomba d'água | Luiz Roberto Bastos (Gerente) [Pensamento Estratégico e Holístico]" id="102"/>
    <tableColumn name="DesEq Eletrônico Bomba d'água | Feedback | Luiz Roberto Bastos" id="103"/>
    <tableColumn name="DesEq Eletrônico Bomba d'água | Arthur Almeida (Consultor) [Disciplina]" id="104"/>
    <tableColumn name="DesEq Eletrônico Bomba d'água | Arthur Almeida (Consultor) [Organização]" id="105"/>
    <tableColumn name="DesEq Eletrônico Bomba d'água | Arthur Almeida (Consultor) [Adaptabilidade]" id="106"/>
    <tableColumn name="DesEq Eletrônico Bomba d'água | Arthur Almeida (Consultor) [Trabalho em equipe]" id="107"/>
    <tableColumn name="DesEq Eletrônico Bomba d'água | Arthur Almeida (Consultor) [Influência e Mobilização]" id="108"/>
    <tableColumn name="DesEq Eletrônico Bomba d'água | Arthur Almeida (Consultor) [Comunicação Assertiva]" id="109"/>
    <tableColumn name="DesEq Eletrônico Bomba d'água | Arthur Almeida (Consultor) [Excelência Técnica]" id="110"/>
    <tableColumn name="DesEq Eletrônico Bomba d'água | Arthur Almeida (Consultor) [Gestão de riscos]" id="111"/>
    <tableColumn name="DesEq Eletrônico Bomba d'água | Arthur Almeida (Consultor) [Delegar Tarefas]" id="112"/>
    <tableColumn name="DesEq Eletrônico Bomba d'água | Arthur Almeida (Consultor) [Gestão de Pessoas]" id="113"/>
    <tableColumn name="DesEq Eletrônico Bomba d'água | Arthur Almeida (Consultor) [Pensamento Estratégico e Holístico]" id="114"/>
    <tableColumn name="DesEq Eletrônico Bomba d'água | Feedback | Arthur Almeida" id="115"/>
    <tableColumn name="DesEq Eletrônico Bomba d'água | Gilson Batista (Consultor) [Disciplina]" id="116"/>
    <tableColumn name="DesEq Eletrônico Bomba d'água | Gilson Batista (Consultor) [Organização]" id="117"/>
    <tableColumn name="DesEq Eletrônico Bomba d'água | Gilson Batista (Consultor) [Adaptabilidade]" id="118"/>
    <tableColumn name="DesEq Eletrônico Bomba d'água | Gilson Batista (Consultor) [Trabalho em equipe]" id="119"/>
    <tableColumn name="DesEq Eletrônico Bomba d'água | Gilson Batista (Consultor) [Influência e Mobilização]" id="120"/>
    <tableColumn name="DesEq Eletrônico Bomba d'água | Gilson Batista (Consultor) [Comunicação Assertiva]" id="121"/>
    <tableColumn name="DesEq Eletrônico Bomba d'água | Gilson Batista (Consultor) [Excelência Técnica]" id="122"/>
    <tableColumn name="DesEq Eletrônico Bomba d'água | Gilson Batista (Consultor) [Gestão de riscos]" id="123"/>
    <tableColumn name="DesEq Eletrônico Bomba d'água | Gilson Batista (Consultor) [Delegar Tarefas]" id="124"/>
    <tableColumn name="DesEq Eletrônico Bomba d'água | Gilson Batista (Consultor) [Gestão de Pessoas]" id="125"/>
    <tableColumn name="DesEq Eletrônico Bomba d'água | Gilson Batista (Consultor) [Pensamento Estratégico e Holístico]" id="126"/>
    <tableColumn name="DesEq Eletrônico Bomba d'água | Feedback | Gilson Batista" id="127"/>
    <tableColumn name="Próximo projeto a avaliar 3" id="128"/>
    <tableColumn name="DesEq Italy Pet | Eduardo Caldas (Gerente) [Disciplina]" id="129"/>
    <tableColumn name="DesEq Italy Pet | Eduardo Caldas (Gerente) [Organização]" id="130"/>
    <tableColumn name="DesEq Italy Pet | Eduardo Caldas (Gerente) [Adaptabilidade]" id="131"/>
    <tableColumn name="DesEq Italy Pet | Eduardo Caldas (Gerente) [Trabalho em equipe]" id="132"/>
    <tableColumn name="DesEq Italy Pet | Eduardo Caldas (Gerente) [Influência e Mobilização]" id="133"/>
    <tableColumn name="DesEq Italy Pet | Eduardo Caldas (Gerente) [Comunicação Assertiva]" id="134"/>
    <tableColumn name="DesEq Italy Pet | Eduardo Caldas (Gerente) [Excelência Técnica]" id="135"/>
    <tableColumn name="DesEq Italy Pet | Eduardo Caldas (Gerente) [Gestão de riscos]" id="136"/>
    <tableColumn name="DesEq Italy Pet | Eduardo Caldas (Gerente) [Delegar Tarefas]" id="137"/>
    <tableColumn name="DesEq Italy Pet | Eduardo Caldas (Gerente) [Gestão de Pessoas]" id="138"/>
    <tableColumn name="DesEq Italy Pet | Eduardo Caldas (Gerente) [Pensamento Estratégico e Holístico]" id="139"/>
    <tableColumn name="DesEq Italy Pet | Feedback | Eduardo Caldas" id="140"/>
    <tableColumn name="DesEq Italy Pet | Pedro Carneiro (Consultor) [Disciplina]" id="141"/>
    <tableColumn name="DesEq Italy Pet | Pedro Carneiro (Consultor) [Organização]" id="142"/>
    <tableColumn name="DesEq Italy Pet | Pedro Carneiro (Consultor) [Adaptabilidade]" id="143"/>
    <tableColumn name="DesEq Italy Pet | Pedro Carneiro (Consultor) [Trabalho em equipe]" id="144"/>
    <tableColumn name="DesEq Italy Pet | Pedro Carneiro (Consultor) [Influência e Mobilização]" id="145"/>
    <tableColumn name="DesEq Italy Pet | Pedro Carneiro (Consultor) [Comunicação Assertiva]" id="146"/>
    <tableColumn name="DesEq Italy Pet | Pedro Carneiro (Consultor) [Excelência Técnica]" id="147"/>
    <tableColumn name="DesEq Italy Pet | Pedro Carneiro (Consultor) [Gestão de riscos]" id="148"/>
    <tableColumn name="DesEq Italy Pet | Pedro Carneiro (Consultor) [Delegar Tarefas]" id="149"/>
    <tableColumn name="DesEq Italy Pet | Pedro Carneiro (Consultor) [Gestão de Pessoas]" id="150"/>
    <tableColumn name="DesEq Italy Pet | Pedro Carneiro (Consultor) [Pensamento Estratégico e Holístico]" id="151"/>
    <tableColumn name="DesEq Italy Pet | Feedback | Pedro Carneiro" id="152"/>
    <tableColumn name="DesEq Italy Pet | Dyonisio dos Santos (Consultor) [Disciplina]" id="153"/>
    <tableColumn name="DesEq Italy Pet | Dyonisio dos Santos (Consultor) [Organização]" id="154"/>
    <tableColumn name="DesEq Italy Pet | Dyonisio dos Santos (Consultor) [Adaptabilidade]" id="155"/>
    <tableColumn name="DesEq Italy Pet | Dyonisio dos Santos (Consultor) [Trabalho em equipe]" id="156"/>
    <tableColumn name="DesEq Italy Pet | Dyonisio dos Santos (Consultor) [Influência e Mobilização]" id="157"/>
    <tableColumn name="DesEq Italy Pet | Dyonisio dos Santos (Consultor) [Comunicação Assertiva]" id="158"/>
    <tableColumn name="DesEq Italy Pet | Dyonisio dos Santos (Consultor) [Excelência Técnica]" id="159"/>
    <tableColumn name="DesEq Italy Pet | Dyonisio dos Santos (Consultor) [Gestão de riscos]" id="160"/>
    <tableColumn name="DesEq Italy Pet | Dyonisio dos Santos (Consultor) [Delegar Tarefas]" id="161"/>
    <tableColumn name="DesEq Italy Pet | Dyonisio dos Santos (Consultor) [Gestão de Pessoas]" id="162"/>
    <tableColumn name="DesEq Italy Pet | Dyonisio dos Santos (Consultor) [Pensamento Estratégico e Holístico]" id="163"/>
    <tableColumn name="DesEq Italy Pet | Feedback | Dyonisio dos Santos" id="164"/>
    <tableColumn name="DesEq Italy Pet | Elizeu dos Santos (Consultor) [Disciplina]" id="165"/>
    <tableColumn name="DesEq Italy Pet | Elizeu dos Santos (Consultor) [Organização]" id="166"/>
    <tableColumn name="DesEq Italy Pet | Elizeu dos Santos (Consultor) [Adaptabilidade]" id="167"/>
    <tableColumn name="DesEq Italy Pet | Elizeu dos Santos (Consultor) [Trabalho em equipe]" id="168"/>
    <tableColumn name="DesEq Italy Pet | Elizeu dos Santos (Consultor) [Influência e Mobilização]" id="169"/>
    <tableColumn name="DesEq Italy Pet | Elizeu dos Santos (Consultor) [Comunicação Assertiva]" id="170"/>
    <tableColumn name="DesEq Italy Pet | Elizeu dos Santos (Consultor) [Excelência Técnica]" id="171"/>
    <tableColumn name="DesEq Italy Pet | Elizeu dos Santos (Consultor) [Gestão de riscos]" id="172"/>
    <tableColumn name="DesEq Italy Pet | Elizeu dos Santos (Consultor) [Delegar Tarefas]" id="173"/>
    <tableColumn name="DesEq Italy Pet | Elizeu dos Santos (Consultor) [Gestão de Pessoas]" id="174"/>
    <tableColumn name="DesEq Italy Pet | Elizeu dos Santos (Consultor) [Pensamento Estratégico e Holístico]" id="175"/>
    <tableColumn name="DesEq Italy Pet | Feedback | Elizeu dos Santos" id="176"/>
    <tableColumn name="DesEq Italy Pet | Heitor Alves (Consultor) [Disciplina]" id="177"/>
    <tableColumn name="DesEq Italy Pet | Heitor Alves (Consultor) [Organização]" id="178"/>
    <tableColumn name="DesEq Italy Pet | Heitor Alves (Consultor) [Adaptabilidade]" id="179"/>
    <tableColumn name="DesEq Italy Pet | Heitor Alves (Consultor) [Trabalho em equipe]" id="180"/>
    <tableColumn name="DesEq Italy Pet | Heitor Alves (Consultor) [Influência e Mobilização]" id="181"/>
    <tableColumn name="DesEq Italy Pet | Heitor Alves (Consultor) [Comunicação Assertiva]" id="182"/>
    <tableColumn name="DesEq Italy Pet | Heitor Alves (Consultor) [Excelência Técnica]" id="183"/>
    <tableColumn name="DesEq Italy Pet | Heitor Alves (Consultor) [Gestão de riscos]" id="184"/>
    <tableColumn name="DesEq Italy Pet | Heitor Alves (Consultor) [Delegar Tarefas]" id="185"/>
    <tableColumn name="DesEq Italy Pet | Heitor Alves (Consultor) [Gestão de Pessoas]" id="186"/>
    <tableColumn name="DesEq Italy Pet | Heitor Alves (Consultor) [Pensamento Estratégico e Holístico]" id="187"/>
    <tableColumn name="DesEq Italy Pet | Feedback | Heitor Alves" id="188"/>
    <tableColumn name="DesEq Italy Pet | Maria Marques (Consultor) [Disciplina]" id="189"/>
    <tableColumn name="DesEq Italy Pet | Maria Marques (Consultor) [Organização]" id="190"/>
    <tableColumn name="DesEq Italy Pet | Maria Marques (Consultor) [Adaptabilidade]" id="191"/>
    <tableColumn name="DesEq Italy Pet | Maria Marques (Consultor) [Trabalho em equipe]" id="192"/>
    <tableColumn name="DesEq Italy Pet | Maria Marques (Consultor) [Influência e Mobilização]" id="193"/>
    <tableColumn name="DesEq Italy Pet | Maria Marques (Consultor) [Comunicação Assertiva]" id="194"/>
    <tableColumn name="DesEq Italy Pet | Maria Marques (Consultor) [Excelência Técnica]" id="195"/>
    <tableColumn name="DesEq Italy Pet | Maria Marques (Consultor) [Gestão de riscos]" id="196"/>
    <tableColumn name="DesEq Italy Pet | Maria Marques (Consultor) [Delegar Tarefas]" id="197"/>
    <tableColumn name="DesEq Italy Pet | Maria Marques (Consultor) [Gestão de Pessoas]" id="198"/>
    <tableColumn name="DesEq Italy Pet | Maria Marques (Consultor) [Pensamento Estratégico e Holístico]" id="199"/>
    <tableColumn name="DesEq Italy Pet | Feedback | Maria Marques" id="200"/>
    <tableColumn name="DesEq Italy Pet | Gabriel Pinheiro (Consultor) [Disciplina]" id="201"/>
    <tableColumn name="DesEq Italy Pet | Gabriel Pinheiro (Consultor) [Organização]" id="202"/>
    <tableColumn name="DesEq Italy Pet | Gabriel Pinheiro (Consultor) [Adaptabilidade]" id="203"/>
    <tableColumn name="DesEq Italy Pet | Gabriel Pinheiro (Consultor) [Trabalho em equipe]" id="204"/>
    <tableColumn name="DesEq Italy Pet | Gabriel Pinheiro (Consultor) [Influência e Mobilização]" id="205"/>
    <tableColumn name="DesEq Italy Pet | Gabriel Pinheiro (Consultor) [Comunicação Assertiva]" id="206"/>
    <tableColumn name="DesEq Italy Pet | Gabriel Pinheiro (Consultor) [Excelência Técnica]" id="207"/>
    <tableColumn name="DesEq Italy Pet | Gabriel Pinheiro (Consultor) [Gestão de riscos]" id="208"/>
    <tableColumn name="DesEq Italy Pet | Gabriel Pinheiro (Consultor) [Delegar Tarefas]" id="209"/>
    <tableColumn name="DesEq Italy Pet | Gabriel Pinheiro (Consultor) [Gestão de Pessoas]" id="210"/>
    <tableColumn name="DesEq Italy Pet | Gabriel Pinheiro (Consultor) [Pensamento Estratégico e Holístico]" id="211"/>
    <tableColumn name="DesEq Italy Pet | Feedback | Gabriel Pinheiro" id="212"/>
    <tableColumn name="Próximo projeto a avaliar 4" id="213"/>
    <tableColumn name="DesEq Telecom | Wallison Barroso (Gerente) [Disciplina]" id="214"/>
    <tableColumn name="DesEq Telecom | Wallison Barroso (Gerente) [Organização]" id="215"/>
    <tableColumn name="DesEq Telecom | Wallison Barroso (Gerente) [Adaptabilidade]" id="216"/>
    <tableColumn name="DesEq Telecom | Wallison Barroso (Gerente) [Trabalho em equipe]" id="217"/>
    <tableColumn name="DesEq Telecom | Wallison Barroso (Gerente) [Influência e Mobilização]" id="218"/>
    <tableColumn name="DesEq Telecom | Wallison Barroso (Gerente) [Comunicação Assertiva]" id="219"/>
    <tableColumn name="DesEq Telecom | Wallison Barroso (Gerente) [Excelência Técnica]" id="220"/>
    <tableColumn name="DesEq Telecom | Wallison Barroso (Gerente) [Gestão de riscos]" id="221"/>
    <tableColumn name="DesEq Telecom | Wallison Barroso (Gerente) [Delegar Tarefas]" id="222"/>
    <tableColumn name="DesEq Telecom | Wallison Barroso (Gerente) [Gestão de Pessoas]" id="223"/>
    <tableColumn name="DesEq Telecom | Wallison Barroso (Gerente) [Pensamento Estratégico e Holístico]" id="224"/>
    <tableColumn name="DesEq Telecom | Feedback | Wallison Barroso" id="225"/>
    <tableColumn name="DesEq Telecom | Pedro Fonseca (Consultor) [Disciplina]" id="226"/>
    <tableColumn name="DesEq Telecom | Pedro Fonseca (Consultor) [Organização]" id="227"/>
    <tableColumn name="DesEq Telecom | Pedro Fonseca (Consultor) [Adaptabilidade]" id="228"/>
    <tableColumn name="DesEq Telecom | Pedro Fonseca (Consultor) [Trabalho em equipe]" id="229"/>
    <tableColumn name="DesEq Telecom | Pedro Fonseca (Consultor) [Influência e Mobilização]" id="230"/>
    <tableColumn name="DesEq Telecom | Pedro Fonseca (Consultor) [Comunicação Assertiva]" id="231"/>
    <tableColumn name="DesEq Telecom | Pedro Fonseca (Consultor) [Excelência Técnica]" id="232"/>
    <tableColumn name="DesEq Telecom | Pedro Fonseca (Consultor) [Gestão de riscos]" id="233"/>
    <tableColumn name="DesEq Telecom | Pedro Fonseca (Consultor) [Delegar Tarefas]" id="234"/>
    <tableColumn name="DesEq Telecom | Pedro Fonseca (Consultor) [Gestão de Pessoas]" id="235"/>
    <tableColumn name="DesEq Telecom | Pedro Fonseca (Consultor) [Pensamento Estratégico e Holístico]" id="236"/>
    <tableColumn name="DesEq Telecom | Feedback | Pedro Fonseca" id="237"/>
    <tableColumn name="DesEq Telecom | Eric Heubel (Consultor) [Disciplina]" id="238"/>
    <tableColumn name="DesEq Telecom | Eric Heubel (Consultor) [Organização]" id="239"/>
    <tableColumn name="DesEq Telecom | Eric Heubel (Consultor) [Adaptabilidade]" id="240"/>
    <tableColumn name="DesEq Telecom | Eric Heubel (Consultor) [Trabalho em equipe]" id="241"/>
    <tableColumn name="DesEq Telecom | Eric Heubel (Consultor) [Influência e Mobilização]" id="242"/>
    <tableColumn name="DesEq Telecom | Eric Heubel (Consultor) [Comunicação Assertiva]" id="243"/>
    <tableColumn name="DesEq Telecom | Eric Heubel (Consultor) [Excelência Técnica]" id="244"/>
    <tableColumn name="DesEq Telecom | Eric Heubel (Consultor) [Gestão de riscos]" id="245"/>
    <tableColumn name="DesEq Telecom | Eric Heubel (Consultor) [Delegar Tarefas]" id="246"/>
    <tableColumn name="DesEq Telecom | Eric Heubel (Consultor) [Gestão de Pessoas]" id="247"/>
    <tableColumn name="DesEq Telecom | Eric Heubel (Consultor) [Pensamento Estratégico e Holístico]" id="248"/>
    <tableColumn name="DesEq Telecom | Feedback | Eric Heubel" id="249"/>
    <tableColumn name="DesEq Telecom | Jonas Pimenta (Consultor) [Disciplina]" id="250"/>
    <tableColumn name="DesEq Telecom | Jonas Pimenta (Consultor) [Organização]" id="251"/>
    <tableColumn name="DesEq Telecom | Jonas Pimenta (Consultor) [Adaptabilidade]" id="252"/>
    <tableColumn name="DesEq Telecom | Jonas Pimenta (Consultor) [Trabalho em equipe]" id="253"/>
    <tableColumn name="DesEq Telecom | Jonas Pimenta (Consultor) [Influência e Mobilização]" id="254"/>
    <tableColumn name="DesEq Telecom | Jonas Pimenta (Consultor) [Comunicação Assertiva]" id="255"/>
    <tableColumn name="DesEq Telecom | Jonas Pimenta (Consultor) [Excelência Técnica]" id="256"/>
    <tableColumn name="DesEq Telecom | Jonas Pimenta (Consultor) [Gestão de riscos]" id="257"/>
    <tableColumn name="DesEq Telecom | Jonas Pimenta (Consultor) [Delegar Tarefas]" id="258"/>
    <tableColumn name="DesEq Telecom | Jonas Pimenta (Consultor) [Gestão de Pessoas]" id="259"/>
    <tableColumn name="DesEq Telecom | Jonas Pimenta (Consultor) [Pensamento Estratégico e Holístico]" id="260"/>
    <tableColumn name="DesEq Telecom | Feedback | Jonas Pimenta" id="261"/>
    <tableColumn name="DesEq Telecom | Guilherme Medina (Consultor) [Disciplina]" id="262"/>
    <tableColumn name="DesEq Telecom | Guilherme Medina (Consultor) [Organização]" id="263"/>
    <tableColumn name="DesEq Telecom | Guilherme Medina (Consultor) [Adaptabilidade]" id="264"/>
    <tableColumn name="DesEq Telecom | Guilherme Medina (Consultor) [Trabalho em equipe]" id="265"/>
    <tableColumn name="DesEq Telecom | Guilherme Medina (Consultor) [Influência e Mobilização]" id="266"/>
    <tableColumn name="DesEq Telecom | Guilherme Medina (Consultor) [Comunicação Assertiva]" id="267"/>
    <tableColumn name="DesEq Telecom | Guilherme Medina (Consultor) [Excelência Técnica]" id="268"/>
    <tableColumn name="DesEq Telecom | Guilherme Medina (Consultor) [Gestão de riscos]" id="269"/>
    <tableColumn name="DesEq Telecom | Guilherme Medina (Consultor) [Delegar Tarefas]" id="270"/>
    <tableColumn name="DesEq Telecom | Guilherme Medina (Consultor) [Gestão de Pessoas]" id="271"/>
    <tableColumn name="DesEq Telecom | Guilherme Medina (Consultor) [Pensamento Estratégico e Holístico]" id="272"/>
    <tableColumn name="DesEq Telecom | Feedback | Guilherme Medina" id="273"/>
    <tableColumn name="DesEq Telecom | Gilson Batista (Consultor) [Disciplina]" id="274"/>
    <tableColumn name="DesEq Telecom | Gilson Batista (Consultor) [Organização]" id="275"/>
    <tableColumn name="DesEq Telecom | Gilson Batista (Consultor) [Adaptabilidade]" id="276"/>
    <tableColumn name="DesEq Telecom | Gilson Batista (Consultor) [Trabalho em equipe]" id="277"/>
    <tableColumn name="DesEq Telecom | Gilson Batista (Consultor) [Influência e Mobilização]" id="278"/>
    <tableColumn name="DesEq Telecom | Gilson Batista (Consultor) [Comunicação Assertiva]" id="279"/>
    <tableColumn name="DesEq Telecom | Gilson Batista (Consultor) [Excelência Técnica]" id="280"/>
    <tableColumn name="DesEq Telecom | Gilson Batista (Consultor) [Gestão de riscos]" id="281"/>
    <tableColumn name="DesEq Telecom | Gilson Batista (Consultor) [Delegar Tarefas]" id="282"/>
    <tableColumn name="DesEq Telecom | Gilson Batista (Consultor) [Gestão de Pessoas]" id="283"/>
    <tableColumn name="DesEq Telecom | Gilson Batista (Consultor) [Pensamento Estratégico e Holístico]" id="284"/>
    <tableColumn name="DesEq Telecom | Feedback | Gilson Batista" id="285"/>
    <tableColumn name="DesEq Telecom | Gabriel Pinheiro (Consultor) [Disciplina]" id="286"/>
    <tableColumn name="DesEq Telecom | Gabriel Pinheiro (Consultor) [Organização]" id="287"/>
    <tableColumn name="DesEq Telecom | Gabriel Pinheiro (Consultor) [Adaptabilidade]" id="288"/>
    <tableColumn name="DesEq Telecom | Gabriel Pinheiro (Consultor) [Trabalho em equipe]" id="289"/>
    <tableColumn name="DesEq Telecom | Gabriel Pinheiro (Consultor) [Influência e Mobilização]" id="290"/>
    <tableColumn name="DesEq Telecom | Gabriel Pinheiro (Consultor) [Comunicação Assertiva]" id="291"/>
    <tableColumn name="DesEq Telecom | Gabriel Pinheiro (Consultor) [Excelência Técnica]" id="292"/>
    <tableColumn name="DesEq Telecom | Gabriel Pinheiro (Consultor) [Gestão de riscos]" id="293"/>
    <tableColumn name="DesEq Telecom | Gabriel Pinheiro (Consultor) [Delegar Tarefas]" id="294"/>
    <tableColumn name="DesEq Telecom | Gabriel Pinheiro (Consultor) [Gestão de Pessoas]" id="295"/>
    <tableColumn name="DesEq Telecom | Gabriel Pinheiro (Consultor) [Pensamento Estratégico e Holístico]" id="296"/>
    <tableColumn name="DesEq Telecom | Feedback | Gabriel Pinheiro" id="297"/>
    <tableColumn name="Próximo projeto a avaliar 5" id="298"/>
    <tableColumn name="DesEq Eletrônico Medidor de Energia | Eduardo Caldas (Gerente) [Disciplina]" id="299"/>
    <tableColumn name="DesEq Eletrônico Medidor de Energia | Eduardo Caldas (Gerente) [Organização]" id="300"/>
    <tableColumn name="DesEq Eletrônico Medidor de Energia | Eduardo Caldas (Gerente) [Adaptabilidade]" id="301"/>
    <tableColumn name="DesEq Eletrônico Medidor de Energia | Eduardo Caldas (Gerente) [Trabalho em equipe]" id="302"/>
    <tableColumn name="DesEq Eletrônico Medidor de Energia | Eduardo Caldas (Gerente) [Influência e Mobilização]" id="303"/>
    <tableColumn name="DesEq Eletrônico Medidor de Energia | Eduardo Caldas (Gerente) [Comunicação Assertiva]" id="304"/>
    <tableColumn name="DesEq Eletrônico Medidor de Energia | Eduardo Caldas (Gerente) [Excelência Técnica]" id="305"/>
    <tableColumn name="DesEq Eletrônico Medidor de Energia | Eduardo Caldas (Gerente) [Gestão de riscos]" id="306"/>
    <tableColumn name="DesEq Eletrônico Medidor de Energia | Eduardo Caldas (Gerente) [Delegar Tarefas]" id="307"/>
    <tableColumn name="DesEq Eletrônico Medidor de Energia | Eduardo Caldas (Gerente) [Gestão de Pessoas]" id="308"/>
    <tableColumn name="DesEq Eletrônico Medidor de Energia | Eduardo Caldas (Gerente) [Pensamento Estratégico e Holístico]" id="309"/>
    <tableColumn name="DesEq Eletrônico Medidor de Energia | Feedback | Eduardo Caldas" id="310"/>
    <tableColumn name="DesEq Eletrônico Medidor de Energia | Arthur Almeida (Consultor) [Disciplina]" id="311"/>
    <tableColumn name="DesEq Eletrônico Medidor de Energia | Arthur Almeida (Consultor) [Organização]" id="312"/>
    <tableColumn name="DesEq Eletrônico Medidor de Energia | Arthur Almeida (Consultor) [Adaptabilidade]" id="313"/>
    <tableColumn name="DesEq Eletrônico Medidor de Energia | Arthur Almeida (Consultor) [Trabalho em equipe]" id="314"/>
    <tableColumn name="DesEq Eletrônico Medidor de Energia | Arthur Almeida (Consultor) [Influência e Mobilização]" id="315"/>
    <tableColumn name="DesEq Eletrônico Medidor de Energia | Arthur Almeida (Consultor) [Comunicação Assertiva]" id="316"/>
    <tableColumn name="DesEq Eletrônico Medidor de Energia | Arthur Almeida (Consultor) [Excelência Técnica]" id="317"/>
    <tableColumn name="DesEq Eletrônico Medidor de Energia | Arthur Almeida (Consultor) [Gestão de riscos]" id="318"/>
    <tableColumn name="DesEq Eletrônico Medidor de Energia | Arthur Almeida (Consultor) [Delegar Tarefas]" id="319"/>
    <tableColumn name="DesEq Eletrônico Medidor de Energia | Arthur Almeida (Consultor) [Gestão de Pessoas]" id="320"/>
    <tableColumn name="DesEq Eletrônico Medidor de Energia | Arthur Almeida (Consultor) [Pensamento Estratégico e Holístico]" id="321"/>
    <tableColumn name="DesEq Eletrônico Medidor de Energia | Feedback | Arthur Almeida" id="322"/>
    <tableColumn name="DesEq Eletrônico Medidor de Energia | Igor Moniz (Consultor) [Disciplina]" id="323"/>
    <tableColumn name="DesEq Eletrônico Medidor de Energia | Igor Moniz (Consultor) [Organização]" id="324"/>
    <tableColumn name="DesEq Eletrônico Medidor de Energia | Igor Moniz (Consultor) [Adaptabilidade]" id="325"/>
    <tableColumn name="DesEq Eletrônico Medidor de Energia | Igor Moniz (Consultor) [Trabalho em equipe]" id="326"/>
    <tableColumn name="DesEq Eletrônico Medidor de Energia | Igor Moniz (Consultor) [Influência e Mobilização]" id="327"/>
    <tableColumn name="DesEq Eletrônico Medidor de Energia | Igor Moniz (Consultor) [Comunicação Assertiva]" id="328"/>
    <tableColumn name="DesEq Eletrônico Medidor de Energia | Igor Moniz (Consultor) [Excelência Técnica]" id="329"/>
    <tableColumn name="DesEq Eletrônico Medidor de Energia | Igor Moniz (Consultor) [Gestão de riscos]" id="330"/>
    <tableColumn name="DesEq Eletrônico Medidor de Energia | Igor Moniz (Consultor) [Delegar Tarefas]" id="331"/>
    <tableColumn name="DesEq Eletrônico Medidor de Energia | Igor Moniz (Consultor) [Gestão de Pessoas]" id="332"/>
    <tableColumn name="DesEq Eletrônico Medidor de Energia | Igor Moniz (Consultor) [Pensamento Estratégico e Holístico]" id="333"/>
    <tableColumn name="DesEq Eletrônico Medidor de Energia | Feedback | Igor Moniz" id="334"/>
    <tableColumn name="DesEq Eletrônico Medidor de Energia | Pedro Carneiro (Consultor) [Disciplina]" id="335"/>
    <tableColumn name="DesEq Eletrônico Medidor de Energia | Pedro Carneiro (Consultor) [Organização]" id="336"/>
    <tableColumn name="DesEq Eletrônico Medidor de Energia | Pedro Carneiro (Consultor) [Adaptabilidade]" id="337"/>
    <tableColumn name="DesEq Eletrônico Medidor de Energia | Pedro Carneiro (Consultor) [Trabalho em equipe]" id="338"/>
    <tableColumn name="DesEq Eletrônico Medidor de Energia | Pedro Carneiro (Consultor) [Influência e Mobilização]" id="339"/>
    <tableColumn name="DesEq Eletrônico Medidor de Energia | Pedro Carneiro (Consultor) [Comunicação Assertiva]" id="340"/>
    <tableColumn name="DesEq Eletrônico Medidor de Energia | Pedro Carneiro (Consultor) [Excelência Técnica]" id="341"/>
    <tableColumn name="DesEq Eletrônico Medidor de Energia | Pedro Carneiro (Consultor) [Gestão de riscos]" id="342"/>
    <tableColumn name="DesEq Eletrônico Medidor de Energia | Pedro Carneiro (Consultor) [Delegar Tarefas]" id="343"/>
    <tableColumn name="DesEq Eletrônico Medidor de Energia | Pedro Carneiro (Consultor) [Gestão de Pessoas]" id="344"/>
    <tableColumn name="DesEq Eletrônico Medidor de Energia | Pedro Carneiro (Consultor) [Pensamento Estratégico e Holístico]" id="345"/>
    <tableColumn name="DesEq Eletrônico Medidor de Energia | Feedback | Pedro Carneiro" id="346"/>
    <tableColumn name="Próximo projeto a avaliar 6" id="347"/>
    <tableColumn name="DesEq Mecânico Bolsa de Sangue | Eduardo Caldas (Gerente) [Disciplina]" id="348"/>
    <tableColumn name="DesEq Mecânico Bolsa de Sangue | Eduardo Caldas (Gerente) [Organização]" id="349"/>
    <tableColumn name="DesEq Mecânico Bolsa de Sangue | Eduardo Caldas (Gerente) [Adaptabilidade]" id="350"/>
    <tableColumn name="DesEq Mecânico Bolsa de Sangue | Eduardo Caldas (Gerente) [Trabalho em equipe]" id="351"/>
    <tableColumn name="DesEq Mecânico Bolsa de Sangue | Eduardo Caldas (Gerente) [Influência e Mobilização]" id="352"/>
    <tableColumn name="DesEq Mecânico Bolsa de Sangue | Eduardo Caldas (Gerente) [Comunicação Assertiva]" id="353"/>
    <tableColumn name="DesEq Mecânico Bolsa de Sangue | Eduardo Caldas (Gerente) [Excelência Técnica]" id="354"/>
    <tableColumn name="DesEq Mecânico Bolsa de Sangue | Eduardo Caldas (Gerente) [Gestão de riscos]" id="355"/>
    <tableColumn name="DesEq Mecânico Bolsa de Sangue | Eduardo Caldas (Gerente) [Delegar Tarefas]" id="356"/>
    <tableColumn name="DesEq Mecânico Bolsa de Sangue | Eduardo Caldas (Gerente) [Gestão de Pessoas]" id="357"/>
    <tableColumn name="DesEq Mecânico Bolsa de Sangue | Eduardo Caldas (Gerente) [Pensamento Estratégico e Holístico]" id="358"/>
    <tableColumn name="DesEq Mecânico Bolsa de Sangue | Feedback | Eduardo Caldas" id="359"/>
    <tableColumn name="DesEq Mecânico Bolsa de Sangue | Gabriel Pinheiro (Consultor) [Disciplina]" id="360"/>
    <tableColumn name="DesEq Mecânico Bolsa de Sangue | Gabriel Pinheiro (Consultor) [Organização]" id="361"/>
    <tableColumn name="DesEq Mecânico Bolsa de Sangue | Gabriel Pinheiro (Consultor) [Adaptabilidade]" id="362"/>
    <tableColumn name="DesEq Mecânico Bolsa de Sangue | Gabriel Pinheiro (Consultor) [Trabalho em equipe]" id="363"/>
    <tableColumn name="DesEq Mecânico Bolsa de Sangue | Gabriel Pinheiro (Consultor) [Influência e Mobilização]" id="364"/>
    <tableColumn name="DesEq Mecânico Bolsa de Sangue | Gabriel Pinheiro (Consultor) [Comunicação Assertiva]" id="365"/>
    <tableColumn name="DesEq Mecânico Bolsa de Sangue | Gabriel Pinheiro (Consultor) [Excelência Técnica]" id="366"/>
    <tableColumn name="DesEq Mecânico Bolsa de Sangue | Gabriel Pinheiro (Consultor) [Gestão de riscos]" id="367"/>
    <tableColumn name="DesEq Mecânico Bolsa de Sangue | Gabriel Pinheiro (Consultor) [Delegar Tarefas]" id="368"/>
    <tableColumn name="DesEq Mecânico Bolsa de Sangue | Gabriel Pinheiro (Consultor) [Gestão de Pessoas]" id="369"/>
    <tableColumn name="DesEq Mecânico Bolsa de Sangue | Gabriel Pinheiro (Consultor) [Pensamento Estratégico e Holístico]" id="370"/>
    <tableColumn name="DesEq Mecânico Bolsa de Sangue | Feedback | Gabriel Pinheiro" id="371"/>
    <tableColumn name="DesEq Mecânico Bolsa de Sangue | Gustavo Coelho (Consultor) [Disciplina]" id="372"/>
    <tableColumn name="DesEq Mecânico Bolsa de Sangue | Gustavo Coelho (Consultor) [Organização]" id="373"/>
    <tableColumn name="DesEq Mecânico Bolsa de Sangue | Gustavo Coelho (Consultor) [Adaptabilidade]" id="374"/>
    <tableColumn name="DesEq Mecânico Bolsa de Sangue | Gustavo Coelho (Consultor) [Trabalho em equipe]" id="375"/>
    <tableColumn name="DesEq Mecânico Bolsa de Sangue | Gustavo Coelho (Consultor) [Influência e Mobilização]" id="376"/>
    <tableColumn name="DesEq Mecânico Bolsa de Sangue | Gustavo Coelho (Consultor) [Comunicação Assertiva]" id="377"/>
    <tableColumn name="DesEq Mecânico Bolsa de Sangue | Gustavo Coelho (Consultor) [Excelência Técnica]" id="378"/>
    <tableColumn name="DesEq Mecânico Bolsa de Sangue | Gustavo Coelho (Consultor) [Gestão de riscos]" id="379"/>
    <tableColumn name="DesEq Mecânico Bolsa de Sangue | Gustavo Coelho (Consultor) [Delegar Tarefas]" id="380"/>
    <tableColumn name="DesEq Mecânico Bolsa de Sangue | Gustavo Coelho (Consultor) [Gestão de Pessoas]" id="381"/>
    <tableColumn name="DesEq Mecânico Bolsa de Sangue | Gustavo Coelho (Consultor) [Pensamento Estratégico e Holístico]" id="382"/>
    <tableColumn name="DesEq Mecânico Bolsa de Sangue | Feedback | Gustavo Coelho" id="383"/>
    <tableColumn name="DesEq Mecânico Bolsa de Sangue | Guilherme Mendes (Consultor) [Disciplina]" id="384"/>
    <tableColumn name="DesEq Mecânico Bolsa de Sangue | Guilherme Mendes (Consultor) [Organização]" id="385"/>
    <tableColumn name="DesEq Mecânico Bolsa de Sangue | Guilherme Mendes (Consultor) [Adaptabilidade]" id="386"/>
    <tableColumn name="DesEq Mecânico Bolsa de Sangue | Guilherme Mendes (Consultor) [Trabalho em equipe]" id="387"/>
    <tableColumn name="DesEq Mecânico Bolsa de Sangue | Guilherme Mendes (Consultor) [Influência e Mobilização]" id="388"/>
    <tableColumn name="DesEq Mecânico Bolsa de Sangue | Guilherme Mendes (Consultor) [Comunicação Assertiva]" id="389"/>
    <tableColumn name="DesEq Mecânico Bolsa de Sangue | Guilherme Mendes (Consultor) [Excelência Técnica]" id="390"/>
    <tableColumn name="DesEq Mecânico Bolsa de Sangue | Guilherme Mendes (Consultor) [Gestão de riscos]" id="391"/>
    <tableColumn name="DesEq Mecânico Bolsa de Sangue | Guilherme Mendes (Consultor) [Delegar Tarefas]" id="392"/>
    <tableColumn name="DesEq Mecânico Bolsa de Sangue | Guilherme Mendes (Consultor) [Gestão de Pessoas]" id="393"/>
    <tableColumn name="DesEq Mecânico Bolsa de Sangue | Guilherme Mendes (Consultor) [Pensamento Estratégico e Holístico]" id="394"/>
    <tableColumn name="DesEq Mecânico Bolsa de Sangue | Feedback | Guilherme Mendes" id="395"/>
    <tableColumn name="Próximo projeto a avaliar 7" id="396"/>
    <tableColumn name="ER  Amostras de Rochas 2.0 | Eduardo Caldas (Gerente) [Disciplina]" id="397"/>
    <tableColumn name="ER  Amostras de Rochas 2.0 | Eduardo Caldas (Gerente) [Organização]" id="398"/>
    <tableColumn name="ER  Amostras de Rochas 2.0 | Eduardo Caldas (Gerente) [Adaptabilidade]" id="399"/>
    <tableColumn name="ER  Amostras de Rochas 2.0 | Eduardo Caldas (Gerente) [Trabalho em equipe]" id="400"/>
    <tableColumn name="ER  Amostras de Rochas 2.0 | Eduardo Caldas (Gerente) [Influência e Mobilização]" id="401"/>
    <tableColumn name="ER  Amostras de Rochas 2.0 | Eduardo Caldas (Gerente) [Comunicação Assertiva]" id="402"/>
    <tableColumn name="ER  Amostras de Rochas 2.0 | Eduardo Caldas (Gerente) [Excelência Técnica]" id="403"/>
    <tableColumn name="ER  Amostras de Rochas 2.0 | Eduardo Caldas (Gerente) [Gestão de riscos]" id="404"/>
    <tableColumn name="ER  Amostras de Rochas 2.0 | Eduardo Caldas (Gerente) [Delegar Tarefas]" id="405"/>
    <tableColumn name="ER  Amostras de Rochas 2.0 | Eduardo Caldas (Gerente) [Gestão de Pessoas]" id="406"/>
    <tableColumn name="ER  Amostras de Rochas 2.0 | Eduardo Caldas (Gerente) [Pensamento Estratégico e Holístico]" id="407"/>
    <tableColumn name="ER  Amostras de Rochas 2.0 | Feedback | Eduardo Caldas" id="408"/>
    <tableColumn name="ER  Amostras de Rochas 2.0 | Rafael Gondim (Consultor) [Disciplina]" id="409"/>
    <tableColumn name="ER  Amostras de Rochas 2.0 | Rafael Gondim (Consultor) [Organização]" id="410"/>
    <tableColumn name="ER  Amostras de Rochas 2.0 | Rafael Gondim (Consultor) [Adaptabilidade]" id="411"/>
    <tableColumn name="ER  Amostras de Rochas 2.0 | Rafael Gondim (Consultor) [Trabalho em equipe]" id="412"/>
    <tableColumn name="ER  Amostras de Rochas 2.0 | Rafael Gondim (Consultor) [Influência e Mobilização]" id="413"/>
    <tableColumn name="ER  Amostras de Rochas 2.0 | Rafael Gondim (Consultor) [Comunicação Assertiva]" id="414"/>
    <tableColumn name="ER  Amostras de Rochas 2.0 | Rafael Gondim (Consultor) [Excelência Técnica]" id="415"/>
    <tableColumn name="ER  Amostras de Rochas 2.0 | Rafael Gondim (Consultor) [Gestão de riscos]" id="416"/>
    <tableColumn name="ER  Amostras de Rochas 2.0 | Rafael Gondim (Consultor) [Delegar Tarefas]" id="417"/>
    <tableColumn name="ER  Amostras de Rochas 2.0 | Rafael Gondim (Consultor) [Gestão de Pessoas]" id="418"/>
    <tableColumn name="ER  Amostras de Rochas 2.0 | Rafael Gondim (Consultor) [Pensamento Estratégico e Holístico]" id="419"/>
    <tableColumn name="ER  Amostras de Rochas 2.0 | Feedback | Rafael Gondim" id="420"/>
    <tableColumn name="ER  Amostras de Rochas 2.0 | Guilherme Mendes (Consultor) [Disciplina]" id="421"/>
    <tableColumn name="ER  Amostras de Rochas 2.0 | Guilherme Mendes (Consultor) [Organização]" id="422"/>
    <tableColumn name="ER  Amostras de Rochas 2.0 | Guilherme Mendes (Consultor) [Adaptabilidade]" id="423"/>
    <tableColumn name="ER  Amostras de Rochas 2.0 | Guilherme Mendes (Consultor) [Trabalho em equipe]" id="424"/>
    <tableColumn name="ER  Amostras de Rochas 2.0 | Guilherme Mendes (Consultor) [Influência e Mobilização]" id="425"/>
    <tableColumn name="ER  Amostras de Rochas 2.0 | Guilherme Mendes (Consultor) [Comunicação Assertiva]" id="426"/>
    <tableColumn name="ER  Amostras de Rochas 2.0 | Guilherme Mendes (Consultor) [Excelência Técnica]" id="427"/>
    <tableColumn name="ER  Amostras de Rochas 2.0 | Guilherme Mendes (Consultor) [Gestão de riscos]" id="428"/>
    <tableColumn name="ER  Amostras de Rochas 2.0 | Guilherme Mendes (Consultor) [Delegar Tarefas]" id="429"/>
    <tableColumn name="ER  Amostras de Rochas 2.0 | Guilherme Mendes (Consultor) [Gestão de Pessoas]" id="430"/>
    <tableColumn name="ER  Amostras de Rochas 2.0 | Guilherme Mendes (Consultor) [Pensamento Estratégico e Holístico]" id="431"/>
    <tableColumn name="ER  Amostras de Rochas 2.0 | Feedback | Guilherme Mendes" id="432"/>
    <tableColumn name="ER  Amostras de Rochas 2.0 | João Farah (Consultor) [Disciplina]" id="433"/>
    <tableColumn name="ER  Amostras de Rochas 2.0 | João Farah (Consultor) [Organização]" id="434"/>
    <tableColumn name="ER  Amostras de Rochas 2.0 | João Farah (Consultor) [Adaptabilidade]" id="435"/>
    <tableColumn name="ER  Amostras de Rochas 2.0 | João Farah (Consultor) [Trabalho em equipe]" id="436"/>
    <tableColumn name="ER  Amostras de Rochas 2.0 | João Farah (Consultor) [Influência e Mobilização]" id="437"/>
    <tableColumn name="ER  Amostras de Rochas 2.0 | João Farah (Consultor) [Comunicação Assertiva]" id="438"/>
    <tableColumn name="ER  Amostras de Rochas 2.0 | João Farah (Consultor) [Excelência Técnica]" id="439"/>
    <tableColumn name="ER  Amostras de Rochas 2.0 | João Farah (Consultor) [Gestão de riscos]" id="440"/>
    <tableColumn name="ER  Amostras de Rochas 2.0 | João Farah (Consultor) [Delegar Tarefas]" id="441"/>
    <tableColumn name="ER  Amostras de Rochas 2.0 | João Farah (Consultor) [Gestão de Pessoas]" id="442"/>
    <tableColumn name="ER  Amostras de Rochas 2.0 | João Farah (Consultor) [Pensamento Estratégico e Holístico]" id="443"/>
    <tableColumn name="ER  Amostras de Rochas 2.0 | Feedback | João Farah" id="444"/>
    <tableColumn name="ER  Amostras de Rochas 2.0 | Guilherme Medina (Consultor) [Disciplina]" id="445"/>
    <tableColumn name="ER  Amostras de Rochas 2.0 | Guilherme Medina (Consultor) [Organização]" id="446"/>
    <tableColumn name="ER  Amostras de Rochas 2.0 | Guilherme Medina (Consultor) [Adaptabilidade]" id="447"/>
    <tableColumn name="ER  Amostras de Rochas 2.0 | Guilherme Medina (Consultor) [Trabalho em equipe]" id="448"/>
    <tableColumn name="ER  Amostras de Rochas 2.0 | Guilherme Medina (Consultor) [Influência e Mobilização]" id="449"/>
    <tableColumn name="ER  Amostras de Rochas 2.0 | Guilherme Medina (Consultor) [Comunicação Assertiva]" id="450"/>
    <tableColumn name="ER  Amostras de Rochas 2.0 | Guilherme Medina (Consultor) [Excelência Técnica]" id="451"/>
    <tableColumn name="ER  Amostras de Rochas 2.0 | Guilherme Medina (Consultor) [Gestão de riscos]" id="452"/>
    <tableColumn name="ER  Amostras de Rochas 2.0 | Guilherme Medina (Consultor) [Delegar Tarefas]" id="453"/>
    <tableColumn name="ER  Amostras de Rochas 2.0 | Guilherme Medina (Consultor) [Gestão de Pessoas]" id="454"/>
    <tableColumn name="ER  Amostras de Rochas 2.0 | Guilherme Medina (Consultor) [Pensamento Estratégico e Holístico]" id="455"/>
    <tableColumn name="ER  Amostras de Rochas 2.0 | Feedback | Guilherme Medina" id="456"/>
    <tableColumn name="ER  Amostras de Rochas 2.0 | Pedro Carneiro (Consultor) [Disciplina]" id="457"/>
    <tableColumn name="ER  Amostras de Rochas 2.0 | Pedro Carneiro (Consultor) [Organização]" id="458"/>
    <tableColumn name="ER  Amostras de Rochas 2.0 | Pedro Carneiro (Consultor) [Adaptabilidade]" id="459"/>
    <tableColumn name="ER  Amostras de Rochas 2.0 | Pedro Carneiro (Consultor) [Trabalho em equipe]" id="460"/>
    <tableColumn name="ER  Amostras de Rochas 2.0 | Pedro Carneiro (Consultor) [Influência e Mobilização]" id="461"/>
    <tableColumn name="ER  Amostras de Rochas 2.0 | Pedro Carneiro (Consultor) [Comunicação Assertiva]" id="462"/>
    <tableColumn name="ER  Amostras de Rochas 2.0 | Pedro Carneiro (Consultor) [Excelência Técnica]" id="463"/>
    <tableColumn name="ER  Amostras de Rochas 2.0 | Pedro Carneiro (Consultor) [Gestão de riscos]" id="464"/>
    <tableColumn name="ER  Amostras de Rochas 2.0 | Pedro Carneiro (Consultor) [Delegar Tarefas]" id="465"/>
    <tableColumn name="ER  Amostras de Rochas 2.0 | Pedro Carneiro (Consultor) [Gestão de Pessoas]" id="466"/>
    <tableColumn name="ER  Amostras de Rochas 2.0 | Pedro Carneiro (Consultor) [Pensamento Estratégico e Holístico]" id="467"/>
    <tableColumn name="ER  Amostras de Rochas 2.0 | Feedback | Pedro Carneiro" id="468"/>
    <tableColumn name="ER  Amostras de Rochas 2.0 | Matheus da Silva (Consultor) [Disciplina]" id="469"/>
    <tableColumn name="ER  Amostras de Rochas 2.0 | Matheus da Silva (Consultor) [Organização]" id="470"/>
    <tableColumn name="ER  Amostras de Rochas 2.0 | Matheus da Silva (Consultor) [Adaptabilidade]" id="471"/>
    <tableColumn name="ER  Amostras de Rochas 2.0 | Matheus da Silva (Consultor) [Trabalho em equipe]" id="472"/>
    <tableColumn name="ER  Amostras de Rochas 2.0 | Matheus da Silva (Consultor) [Influência e Mobilização]" id="473"/>
    <tableColumn name="ER  Amostras de Rochas 2.0 | Matheus da Silva (Consultor) [Comunicação Assertiva]" id="474"/>
    <tableColumn name="ER  Amostras de Rochas 2.0 | Matheus da Silva (Consultor) [Excelência Técnica]" id="475"/>
    <tableColumn name="ER  Amostras de Rochas 2.0 | Matheus da Silva (Consultor) [Gestão de riscos]" id="476"/>
    <tableColumn name="ER  Amostras de Rochas 2.0 | Matheus da Silva (Consultor) [Delegar Tarefas]" id="477"/>
    <tableColumn name="ER  Amostras de Rochas 2.0 | Matheus da Silva (Consultor) [Gestão de Pessoas]" id="478"/>
    <tableColumn name="ER  Amostras de Rochas 2.0 | Matheus da Silva (Consultor) [Pensamento Estratégico e Holístico]" id="479"/>
    <tableColumn name="ER  Amostras de Rochas 2.0 | Feedback | Matheus da Silva" id="480"/>
    <tableColumn name="Próximo projeto a avaliar 8" id="481"/>
    <tableColumn name="ER Lentes | Luise Lopes (Gerente) [Disciplina]" id="482"/>
    <tableColumn name="ER Lentes | Luise Lopes (Gerente) [Organização]" id="483"/>
    <tableColumn name="ER Lentes | Luise Lopes (Gerente) [Adaptabilidade]" id="484"/>
    <tableColumn name="ER Lentes | Luise Lopes (Gerente) [Trabalho em equipe]" id="485"/>
    <tableColumn name="ER Lentes | Luise Lopes (Gerente) [Influência e Mobilização]" id="486"/>
    <tableColumn name="ER Lentes | Luise Lopes (Gerente) [Comunicação Assertiva]" id="487"/>
    <tableColumn name="ER Lentes | Luise Lopes (Gerente) [Excelência Técnica]" id="488"/>
    <tableColumn name="ER Lentes | Luise Lopes (Gerente) [Gestão de riscos]" id="489"/>
    <tableColumn name="ER Lentes | Luise Lopes (Gerente) [Delegar Tarefas]" id="490"/>
    <tableColumn name="ER Lentes | Luise Lopes (Gerente) [Gestão de Pessoas]" id="491"/>
    <tableColumn name="ER Lentes | Luise Lopes (Gerente) [Pensamento Estratégico e Holístico]" id="492"/>
    <tableColumn name="ER Lentes | Feedback | Luise Lopes" id="493"/>
    <tableColumn name="ER Lentes | Maria Marques (Consultor) [Disciplina]" id="494"/>
    <tableColumn name="ER Lentes | Maria Marques (Consultor) [Organização]" id="495"/>
    <tableColumn name="ER Lentes | Maria Marques (Consultor) [Adaptabilidade]" id="496"/>
    <tableColumn name="ER Lentes | Maria Marques (Consultor) [Trabalho em equipe]" id="497"/>
    <tableColumn name="ER Lentes | Maria Marques (Consultor) [Influência e Mobilização]" id="498"/>
    <tableColumn name="ER Lentes | Maria Marques (Consultor) [Comunicação Assertiva]" id="499"/>
    <tableColumn name="ER Lentes | Maria Marques (Consultor) [Excelência Técnica]" id="500"/>
    <tableColumn name="ER Lentes | Maria Marques (Consultor) [Gestão de riscos]" id="501"/>
    <tableColumn name="ER Lentes | Maria Marques (Consultor) [Delegar Tarefas]" id="502"/>
    <tableColumn name="ER Lentes | Maria Marques (Consultor) [Gestão de Pessoas]" id="503"/>
    <tableColumn name="ER Lentes | Maria Marques (Consultor) [Pensamento Estratégico e Holístico]" id="504"/>
    <tableColumn name="ER Lentes | Feedback | Maria Marques" id="505"/>
    <tableColumn name="ER Lentes | Anna Júlia (Consultor) [Disciplina]" id="506"/>
    <tableColumn name="ER Lentes | Anna Júlia (Consultor) [Organização]" id="507"/>
    <tableColumn name="ER Lentes | Anna Júlia (Consultor) [Adaptabilidade]" id="508"/>
    <tableColumn name="ER Lentes | Anna Júlia (Consultor) [Trabalho em equipe]" id="509"/>
    <tableColumn name="ER Lentes | Anna Júlia (Consultor) [Influência e Mobilização]" id="510"/>
    <tableColumn name="ER Lentes | Anna Júlia (Consultor) [Comunicação Assertiva]" id="511"/>
    <tableColumn name="ER Lentes | Anna Júlia (Consultor) [Excelência Técnica]" id="512"/>
    <tableColumn name="ER Lentes | Anna Júlia (Consultor) [Gestão de riscos]" id="513"/>
    <tableColumn name="ER Lentes | Anna Júlia (Consultor) [Delegar Tarefas]" id="514"/>
    <tableColumn name="ER Lentes | Anna Júlia (Consultor) [Gestão de Pessoas]" id="515"/>
    <tableColumn name="ER Lentes | Anna Júlia (Consultor) [Pensamento Estratégico e Holístico]" id="516"/>
    <tableColumn name="ER Lentes | Feedback | Anna Júlia" id="517"/>
    <tableColumn name="Próximo projeto a avaliar 9" id="518"/>
    <tableColumn name="DesEq Eletrônico Boia | Pedro Carneiro (Gerente) [Disciplina]" id="519"/>
    <tableColumn name="DesEq Eletrônico Boia | Pedro Carneiro (Gerente) [Organização]" id="520"/>
    <tableColumn name="DesEq Eletrônico Boia | Pedro Carneiro (Gerente) [Adaptabilidade]" id="521"/>
    <tableColumn name="DesEq Eletrônico Boia | Pedro Carneiro (Gerente) [Trabalho em equipe]" id="522"/>
    <tableColumn name="DesEq Eletrônico Boia | Pedro Carneiro (Gerente) [Influência e Mobilização]" id="523"/>
    <tableColumn name="DesEq Eletrônico Boia | Pedro Carneiro (Gerente) [Comunicação Assertiva]" id="524"/>
    <tableColumn name="DesEq Eletrônico Boia | Pedro Carneiro (Gerente) [Excelência Técnica]" id="525"/>
    <tableColumn name="DesEq Eletrônico Boia | Pedro Carneiro (Gerente) [Gestão de riscos]" id="526"/>
    <tableColumn name="DesEq Eletrônico Boia | Pedro Carneiro (Gerente) [Delegar Tarefas]" id="527"/>
    <tableColumn name="DesEq Eletrônico Boia | Pedro Carneiro (Gerente) [Gestão de Pessoas]" id="528"/>
    <tableColumn name="DesEq Eletrônico Boia | Pedro Carneiro (Gerente) [Pensamento Estratégico e Holístico]" id="529"/>
    <tableColumn name="DesEq Eletrônico Boia | Feedback | Pedro Carneiro" id="530"/>
    <tableColumn name="DesEq Eletrônico Boia | Dyonisio dos Santos (Consultor) [Disciplina]" id="531"/>
    <tableColumn name="DesEq Eletrônico Boia | Dyonisio dos Santos (Consultor) [Organização]" id="532"/>
    <tableColumn name="DesEq Eletrônico Boia | Dyonisio dos Santos (Consultor) [Adaptabilidade]" id="533"/>
    <tableColumn name="DesEq Eletrônico Boia | Dyonisio dos Santos (Consultor) [Trabalho em equipe]" id="534"/>
    <tableColumn name="DesEq Eletrônico Boia | Dyonisio dos Santos (Consultor) [Influência e Mobilização]" id="535"/>
    <tableColumn name="DesEq Eletrônico Boia | Dyonisio dos Santos (Consultor) [Comunicação Assertiva]" id="536"/>
    <tableColumn name="DesEq Eletrônico Boia | Dyonisio dos Santos (Consultor) [Excelência Técnica]" id="537"/>
    <tableColumn name="DesEq Eletrônico Boia | Dyonisio dos Santos (Consultor) [Gestão de riscos]" id="538"/>
    <tableColumn name="DesEq Eletrônico Boia | Dyonisio dos Santos (Consultor) [Delegar Tarefas]" id="539"/>
    <tableColumn name="DesEq Eletrônico Boia | Dyonisio dos Santos (Consultor) [Gestão de Pessoas]" id="540"/>
    <tableColumn name="DesEq Eletrônico Boia | Dyonisio dos Santos (Consultor) [Pensamento Estratégico e Holístico]" id="541"/>
    <tableColumn name="DesEq Eletrônico Boia | Feedback | Dyonisio dos Santos" id="542"/>
    <tableColumn name="DesEq Eletrônico Boia | Lucas Ninhaus (Consultor) [Disciplina]" id="543"/>
    <tableColumn name="DesEq Eletrônico Boia | Lucas Ninhaus (Consultor) [Organização]" id="544"/>
    <tableColumn name="DesEq Eletrônico Boia | Lucas Ninhaus (Consultor) [Adaptabilidade]" id="545"/>
    <tableColumn name="DesEq Eletrônico Boia | Lucas Ninhaus (Consultor) [Trabalho em equipe]" id="546"/>
    <tableColumn name="DesEq Eletrônico Boia | Lucas Ninhaus (Consultor) [Influência e Mobilização]" id="547"/>
    <tableColumn name="DesEq Eletrônico Boia | Lucas Ninhaus (Consultor) [Comunicação Assertiva]" id="548"/>
    <tableColumn name="DesEq Eletrônico Boia | Lucas Ninhaus (Consultor) [Excelência Técnica]" id="549"/>
    <tableColumn name="DesEq Eletrônico Boia | Lucas Ninhaus (Consultor) [Gestão de riscos]" id="550"/>
    <tableColumn name="DesEq Eletrônico Boia | Lucas Ninhaus (Consultor) [Delegar Tarefas]" id="551"/>
    <tableColumn name="DesEq Eletrônico Boia | Lucas Ninhaus (Consultor) [Gestão de Pessoas]" id="552"/>
    <tableColumn name="DesEq Eletrônico Boia | Lucas Ninhaus (Consultor) [Pensamento Estratégico e Holístico]" id="553"/>
    <tableColumn name="DesEq Eletrônico Boia | Feedback | Lucas Ninhaus" id="554"/>
    <tableColumn name="Próximo projeto a avaliar 10" id="55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18.88"/>
    <col customWidth="1" min="4" max="4" width="28.5"/>
    <col customWidth="1" min="5" max="65" width="37.63"/>
    <col customWidth="1" min="66" max="66" width="23.38"/>
    <col customWidth="1" min="67" max="90" width="37.63"/>
    <col customWidth="1" min="91" max="91" width="23.38"/>
    <col customWidth="1" min="92" max="127" width="37.63"/>
    <col customWidth="1" min="128" max="128" width="23.38"/>
    <col customWidth="1" min="129" max="139" width="37.63"/>
    <col customWidth="1" min="140" max="140" width="37.0"/>
    <col customWidth="1" min="141" max="151" width="37.63"/>
    <col customWidth="1" min="152" max="152" width="36.38"/>
    <col customWidth="1" min="153" max="187" width="37.63"/>
    <col customWidth="1" min="188" max="188" width="34.38"/>
    <col customWidth="1" min="189" max="199" width="37.63"/>
    <col customWidth="1" min="200" max="200" width="36.5"/>
    <col customWidth="1" min="201" max="211" width="37.63"/>
    <col customWidth="1" min="212" max="212" width="37.13"/>
    <col customWidth="1" min="213" max="213" width="23.38"/>
    <col customWidth="1" min="214" max="236" width="37.63"/>
    <col customWidth="1" min="237" max="237" width="36.75"/>
    <col customWidth="1" min="238" max="248" width="37.63"/>
    <col customWidth="1" min="249" max="249" width="34.25"/>
    <col customWidth="1" min="250" max="260" width="37.63"/>
    <col customWidth="1" min="261" max="261" width="36.88"/>
    <col customWidth="1" min="262" max="284" width="37.63"/>
    <col customWidth="1" min="285" max="285" width="36.0"/>
    <col customWidth="1" min="286" max="296" width="37.63"/>
    <col customWidth="1" min="297" max="297" width="37.38"/>
    <col customWidth="1" min="298" max="298" width="23.38"/>
    <col customWidth="1" min="299" max="346" width="37.63"/>
    <col customWidth="1" min="347" max="347" width="23.38"/>
    <col customWidth="1" min="348" max="395" width="37.63"/>
    <col customWidth="1" min="396" max="396" width="23.38"/>
    <col customWidth="1" min="397" max="480" width="37.63"/>
    <col customWidth="1" min="481" max="481" width="23.38"/>
    <col customWidth="1" min="482" max="492" width="37.63"/>
    <col customWidth="1" min="493" max="493" width="30.63"/>
    <col customWidth="1" min="494" max="504" width="37.63"/>
    <col customWidth="1" min="505" max="505" width="32.88"/>
    <col customWidth="1" min="506" max="516" width="37.63"/>
    <col customWidth="1" min="517" max="517" width="29.63"/>
    <col customWidth="1" min="518" max="518" width="23.38"/>
    <col customWidth="1" min="519" max="554" width="37.63"/>
    <col customWidth="1" min="555" max="555" width="23.38"/>
    <col customWidth="1" min="556" max="56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</row>
    <row r="2" ht="22.5" customHeight="1">
      <c r="A2" s="2">
        <v>46086.44195328704</v>
      </c>
      <c r="B2" s="3" t="s">
        <v>555</v>
      </c>
      <c r="C2" s="3" t="s">
        <v>556</v>
      </c>
      <c r="D2" s="4" t="s">
        <v>557</v>
      </c>
      <c r="E2" s="3" t="s">
        <v>558</v>
      </c>
      <c r="F2" s="3">
        <v>1.0</v>
      </c>
      <c r="G2" s="3">
        <v>2.0</v>
      </c>
      <c r="H2" s="3">
        <v>3.0</v>
      </c>
      <c r="I2" s="3">
        <v>4.0</v>
      </c>
      <c r="J2" s="3">
        <v>3.0</v>
      </c>
      <c r="K2" s="3">
        <v>3.0</v>
      </c>
      <c r="L2" s="3">
        <v>3.0</v>
      </c>
      <c r="M2" s="3">
        <v>3.0</v>
      </c>
      <c r="N2" s="3">
        <v>3.0</v>
      </c>
      <c r="O2" s="3">
        <v>3.0</v>
      </c>
      <c r="P2" s="3">
        <v>3.0</v>
      </c>
      <c r="Q2" s="3" t="s">
        <v>559</v>
      </c>
      <c r="R2" s="3">
        <v>1.0</v>
      </c>
      <c r="S2" s="3">
        <v>1.0</v>
      </c>
      <c r="T2" s="3">
        <v>1.0</v>
      </c>
      <c r="U2" s="3">
        <v>1.0</v>
      </c>
      <c r="V2" s="3">
        <v>1.0</v>
      </c>
      <c r="W2" s="3">
        <v>1.0</v>
      </c>
      <c r="X2" s="3">
        <v>1.0</v>
      </c>
      <c r="Y2" s="3">
        <v>1.0</v>
      </c>
      <c r="Z2" s="3">
        <v>1.0</v>
      </c>
      <c r="AA2" s="3">
        <v>1.0</v>
      </c>
      <c r="AB2" s="3">
        <v>1.0</v>
      </c>
      <c r="AC2" s="3" t="s">
        <v>560</v>
      </c>
      <c r="AD2" s="3">
        <v>3.0</v>
      </c>
      <c r="AE2" s="3">
        <v>3.0</v>
      </c>
      <c r="AF2" s="3">
        <v>4.0</v>
      </c>
      <c r="AG2" s="3">
        <v>3.0</v>
      </c>
      <c r="AH2" s="3">
        <v>4.0</v>
      </c>
      <c r="AI2" s="3">
        <v>3.0</v>
      </c>
      <c r="AJ2" s="3">
        <v>3.0</v>
      </c>
      <c r="AK2" s="3">
        <v>4.0</v>
      </c>
      <c r="AL2" s="3">
        <v>4.0</v>
      </c>
      <c r="AM2" s="3">
        <v>3.0</v>
      </c>
      <c r="AN2" s="3">
        <v>3.0</v>
      </c>
      <c r="AO2" s="3" t="s">
        <v>561</v>
      </c>
      <c r="AP2" s="3">
        <v>2.0</v>
      </c>
      <c r="AQ2" s="3">
        <v>2.0</v>
      </c>
      <c r="AR2" s="3">
        <v>2.0</v>
      </c>
      <c r="AS2" s="3">
        <v>2.0</v>
      </c>
      <c r="AT2" s="3">
        <v>2.0</v>
      </c>
      <c r="AU2" s="3">
        <v>2.0</v>
      </c>
      <c r="AV2" s="3">
        <v>2.0</v>
      </c>
      <c r="AW2" s="3">
        <v>2.0</v>
      </c>
      <c r="AX2" s="3">
        <v>2.0</v>
      </c>
      <c r="AY2" s="3">
        <v>2.0</v>
      </c>
      <c r="AZ2" s="3">
        <v>2.0</v>
      </c>
      <c r="BA2" s="3" t="s">
        <v>562</v>
      </c>
      <c r="BB2" s="3">
        <v>2.0</v>
      </c>
      <c r="BC2" s="3">
        <v>3.0</v>
      </c>
      <c r="BD2" s="3">
        <v>2.0</v>
      </c>
      <c r="BE2" s="3">
        <v>3.0</v>
      </c>
      <c r="BF2" s="3">
        <v>2.0</v>
      </c>
      <c r="BG2" s="3">
        <v>3.0</v>
      </c>
      <c r="BH2" s="3">
        <v>2.0</v>
      </c>
      <c r="BI2" s="3">
        <v>3.0</v>
      </c>
      <c r="BJ2" s="3">
        <v>2.0</v>
      </c>
      <c r="BK2" s="3">
        <v>3.0</v>
      </c>
      <c r="BL2" s="3">
        <v>2.0</v>
      </c>
      <c r="BM2" s="3" t="s">
        <v>563</v>
      </c>
      <c r="BN2" s="3" t="s">
        <v>564</v>
      </c>
      <c r="BO2" s="3">
        <v>1.0</v>
      </c>
      <c r="BP2" s="3">
        <v>2.0</v>
      </c>
      <c r="BQ2" s="3">
        <v>1.0</v>
      </c>
      <c r="BR2" s="3">
        <v>3.0</v>
      </c>
      <c r="BS2" s="3">
        <v>1.0</v>
      </c>
      <c r="BT2" s="3">
        <v>3.0</v>
      </c>
      <c r="BU2" s="3">
        <v>4.0</v>
      </c>
      <c r="BV2" s="3">
        <v>3.0</v>
      </c>
      <c r="BW2" s="3">
        <v>1.0</v>
      </c>
      <c r="BX2" s="3">
        <v>4.0</v>
      </c>
      <c r="BY2" s="3">
        <v>3.0</v>
      </c>
      <c r="BZ2" s="3" t="s">
        <v>565</v>
      </c>
      <c r="CA2" s="3">
        <v>2.0</v>
      </c>
      <c r="CB2" s="3">
        <v>4.0</v>
      </c>
      <c r="CC2" s="3">
        <v>1.0</v>
      </c>
      <c r="CD2" s="3">
        <v>3.0</v>
      </c>
      <c r="CE2" s="3">
        <v>3.0</v>
      </c>
      <c r="CF2" s="3">
        <v>3.0</v>
      </c>
      <c r="CG2" s="3">
        <v>3.0</v>
      </c>
      <c r="CH2" s="3">
        <v>1.0</v>
      </c>
      <c r="CI2" s="3">
        <v>4.0</v>
      </c>
      <c r="CJ2" s="3">
        <v>3.0</v>
      </c>
      <c r="CK2" s="3">
        <v>3.0</v>
      </c>
      <c r="CL2" s="3" t="s">
        <v>566</v>
      </c>
      <c r="CM2" s="3" t="s">
        <v>567</v>
      </c>
      <c r="CN2" s="3">
        <v>2.0</v>
      </c>
      <c r="CO2" s="3">
        <v>1.0</v>
      </c>
      <c r="CP2" s="3">
        <v>4.0</v>
      </c>
      <c r="CQ2" s="3">
        <v>3.0</v>
      </c>
      <c r="CR2" s="3">
        <v>3.0</v>
      </c>
      <c r="CS2" s="3">
        <v>4.0</v>
      </c>
      <c r="CT2" s="3">
        <v>4.0</v>
      </c>
      <c r="CU2" s="3">
        <v>3.0</v>
      </c>
      <c r="CV2" s="3">
        <v>4.0</v>
      </c>
      <c r="CW2" s="3">
        <v>3.0</v>
      </c>
      <c r="CX2" s="3">
        <v>4.0</v>
      </c>
      <c r="CY2" s="3" t="s">
        <v>568</v>
      </c>
      <c r="CZ2" s="3">
        <v>2.0</v>
      </c>
      <c r="DA2" s="3">
        <v>1.0</v>
      </c>
      <c r="DB2" s="3">
        <v>4.0</v>
      </c>
      <c r="DC2" s="3">
        <v>3.0</v>
      </c>
      <c r="DD2" s="3">
        <v>4.0</v>
      </c>
      <c r="DE2" s="3">
        <v>3.0</v>
      </c>
      <c r="DF2" s="3">
        <v>3.0</v>
      </c>
      <c r="DG2" s="3">
        <v>4.0</v>
      </c>
      <c r="DH2" s="3">
        <v>3.0</v>
      </c>
      <c r="DI2" s="3">
        <v>4.0</v>
      </c>
      <c r="DJ2" s="3">
        <v>2.0</v>
      </c>
      <c r="DK2" s="3" t="s">
        <v>569</v>
      </c>
      <c r="DL2" s="3">
        <v>3.0</v>
      </c>
      <c r="DM2" s="3">
        <v>4.0</v>
      </c>
      <c r="DN2" s="3">
        <v>3.0</v>
      </c>
      <c r="DO2" s="3">
        <v>4.0</v>
      </c>
      <c r="DP2" s="3">
        <v>3.0</v>
      </c>
      <c r="DQ2" s="3">
        <v>4.0</v>
      </c>
      <c r="DR2" s="3">
        <v>3.0</v>
      </c>
      <c r="DS2" s="3">
        <v>4.0</v>
      </c>
      <c r="DT2" s="3">
        <v>3.0</v>
      </c>
      <c r="DU2" s="3">
        <v>4.0</v>
      </c>
      <c r="DV2" s="3">
        <v>3.0</v>
      </c>
      <c r="DW2" s="3" t="s">
        <v>570</v>
      </c>
      <c r="DX2" s="3" t="s">
        <v>571</v>
      </c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3">
        <v>4.0</v>
      </c>
      <c r="HG2" s="3">
        <v>3.0</v>
      </c>
      <c r="HH2" s="3">
        <v>4.0</v>
      </c>
      <c r="HI2" s="3">
        <v>3.0</v>
      </c>
      <c r="HJ2" s="3">
        <v>4.0</v>
      </c>
      <c r="HK2" s="3">
        <v>3.0</v>
      </c>
      <c r="HL2" s="3">
        <v>3.0</v>
      </c>
      <c r="HM2" s="3">
        <v>3.0</v>
      </c>
      <c r="HN2" s="3">
        <v>4.0</v>
      </c>
      <c r="HO2" s="3">
        <v>3.0</v>
      </c>
      <c r="HP2" s="3">
        <v>3.0</v>
      </c>
      <c r="HQ2" s="3" t="s">
        <v>572</v>
      </c>
      <c r="HR2" s="3">
        <v>3.0</v>
      </c>
      <c r="HS2" s="3">
        <v>4.0</v>
      </c>
      <c r="HT2" s="3">
        <v>3.0</v>
      </c>
      <c r="HU2" s="3">
        <v>3.0</v>
      </c>
      <c r="HV2" s="3">
        <v>3.0</v>
      </c>
      <c r="HW2" s="3">
        <v>3.0</v>
      </c>
      <c r="HX2" s="3">
        <v>3.0</v>
      </c>
      <c r="HY2" s="3">
        <v>3.0</v>
      </c>
      <c r="HZ2" s="3">
        <v>4.0</v>
      </c>
      <c r="IA2" s="3">
        <v>2.0</v>
      </c>
      <c r="IB2" s="3">
        <v>3.0</v>
      </c>
      <c r="IC2" s="3" t="s">
        <v>573</v>
      </c>
      <c r="ID2" s="3">
        <v>2.0</v>
      </c>
      <c r="IE2" s="3">
        <v>3.0</v>
      </c>
      <c r="IF2" s="3">
        <v>3.0</v>
      </c>
      <c r="IG2" s="3">
        <v>4.0</v>
      </c>
      <c r="IH2" s="3">
        <v>2.0</v>
      </c>
      <c r="II2" s="3">
        <v>4.0</v>
      </c>
      <c r="IJ2" s="3">
        <v>2.0</v>
      </c>
      <c r="IK2" s="3">
        <v>3.0</v>
      </c>
      <c r="IL2" s="3">
        <v>3.0</v>
      </c>
      <c r="IM2" s="3">
        <v>2.0</v>
      </c>
      <c r="IN2" s="3">
        <v>3.0</v>
      </c>
      <c r="IO2" s="3" t="s">
        <v>574</v>
      </c>
      <c r="IP2" s="3">
        <v>3.0</v>
      </c>
      <c r="IQ2" s="3">
        <v>4.0</v>
      </c>
      <c r="IR2" s="3">
        <v>3.0</v>
      </c>
      <c r="IS2" s="3">
        <v>4.0</v>
      </c>
      <c r="IT2" s="3">
        <v>2.0</v>
      </c>
      <c r="IU2" s="3">
        <v>3.0</v>
      </c>
      <c r="IV2" s="3">
        <v>3.0</v>
      </c>
      <c r="IW2" s="3">
        <v>4.0</v>
      </c>
      <c r="IX2" s="3">
        <v>3.0</v>
      </c>
      <c r="IY2" s="3">
        <v>3.0</v>
      </c>
      <c r="IZ2" s="3">
        <v>3.0</v>
      </c>
      <c r="JA2" s="3" t="s">
        <v>575</v>
      </c>
      <c r="JB2" s="3">
        <v>3.0</v>
      </c>
      <c r="JC2" s="3">
        <v>1.0</v>
      </c>
      <c r="JD2" s="3">
        <v>3.0</v>
      </c>
      <c r="JE2" s="3">
        <v>2.0</v>
      </c>
      <c r="JF2" s="3">
        <v>2.0</v>
      </c>
      <c r="JG2" s="3">
        <v>3.0</v>
      </c>
      <c r="JH2" s="3">
        <v>1.0</v>
      </c>
      <c r="JI2" s="3">
        <v>4.0</v>
      </c>
      <c r="JJ2" s="3">
        <v>3.0</v>
      </c>
      <c r="JK2" s="3">
        <v>2.0</v>
      </c>
      <c r="JL2" s="3">
        <v>2.0</v>
      </c>
      <c r="JM2" s="3" t="s">
        <v>576</v>
      </c>
      <c r="JN2" s="3">
        <v>3.0</v>
      </c>
      <c r="JO2" s="3">
        <v>1.0</v>
      </c>
      <c r="JP2" s="3">
        <v>4.0</v>
      </c>
      <c r="JQ2" s="3">
        <v>3.0</v>
      </c>
      <c r="JR2" s="3">
        <v>3.0</v>
      </c>
      <c r="JS2" s="3">
        <v>4.0</v>
      </c>
      <c r="JT2" s="3">
        <v>2.0</v>
      </c>
      <c r="JU2" s="3">
        <v>2.0</v>
      </c>
      <c r="JV2" s="3">
        <v>4.0</v>
      </c>
      <c r="JW2" s="3">
        <v>3.0</v>
      </c>
      <c r="JX2" s="3">
        <v>3.0</v>
      </c>
      <c r="JY2" s="3" t="s">
        <v>577</v>
      </c>
      <c r="JZ2" s="3">
        <v>2.0</v>
      </c>
      <c r="KA2" s="3">
        <v>4.0</v>
      </c>
      <c r="KB2" s="3">
        <v>2.0</v>
      </c>
      <c r="KC2" s="3">
        <v>3.0</v>
      </c>
      <c r="KD2" s="3">
        <v>2.0</v>
      </c>
      <c r="KE2" s="3">
        <v>2.0</v>
      </c>
      <c r="KF2" s="3">
        <v>1.0</v>
      </c>
      <c r="KG2" s="3">
        <v>3.0</v>
      </c>
      <c r="KH2" s="3">
        <v>4.0</v>
      </c>
      <c r="KI2" s="3">
        <v>2.0</v>
      </c>
      <c r="KJ2" s="3">
        <v>3.0</v>
      </c>
      <c r="KK2" s="3" t="s">
        <v>578</v>
      </c>
      <c r="KL2" s="3" t="s">
        <v>579</v>
      </c>
      <c r="KM2" s="3">
        <v>2.0</v>
      </c>
      <c r="KN2" s="3">
        <v>4.0</v>
      </c>
      <c r="KO2" s="3">
        <v>3.0</v>
      </c>
      <c r="KP2" s="3">
        <v>2.0</v>
      </c>
      <c r="KQ2" s="3">
        <v>3.0</v>
      </c>
      <c r="KR2" s="3">
        <v>4.0</v>
      </c>
      <c r="KS2" s="3">
        <v>2.0</v>
      </c>
      <c r="KT2" s="3">
        <v>3.0</v>
      </c>
      <c r="KU2" s="3">
        <v>2.0</v>
      </c>
      <c r="KV2" s="3">
        <v>4.0</v>
      </c>
      <c r="KW2" s="3">
        <v>2.0</v>
      </c>
      <c r="KX2" s="3" t="s">
        <v>580</v>
      </c>
      <c r="KY2" s="3">
        <v>2.0</v>
      </c>
      <c r="KZ2" s="3">
        <v>1.0</v>
      </c>
      <c r="LA2" s="3">
        <v>3.0</v>
      </c>
      <c r="LB2" s="3">
        <v>2.0</v>
      </c>
      <c r="LC2" s="3">
        <v>4.0</v>
      </c>
      <c r="LD2" s="3">
        <v>3.0</v>
      </c>
      <c r="LE2" s="3">
        <v>4.0</v>
      </c>
      <c r="LF2" s="3">
        <v>2.0</v>
      </c>
      <c r="LG2" s="3">
        <v>3.0</v>
      </c>
      <c r="LH2" s="3">
        <v>4.0</v>
      </c>
      <c r="LI2" s="3">
        <v>4.0</v>
      </c>
      <c r="LJ2" s="3" t="s">
        <v>581</v>
      </c>
      <c r="LK2" s="3">
        <v>3.0</v>
      </c>
      <c r="LL2" s="3">
        <v>4.0</v>
      </c>
      <c r="LM2" s="3">
        <v>4.0</v>
      </c>
      <c r="LN2" s="3">
        <v>2.0</v>
      </c>
      <c r="LO2" s="3">
        <v>3.0</v>
      </c>
      <c r="LP2" s="3">
        <v>4.0</v>
      </c>
      <c r="LQ2" s="3">
        <v>3.0</v>
      </c>
      <c r="LR2" s="3">
        <v>3.0</v>
      </c>
      <c r="LS2" s="3">
        <v>4.0</v>
      </c>
      <c r="LT2" s="3">
        <v>3.0</v>
      </c>
      <c r="LU2" s="3">
        <v>4.0</v>
      </c>
      <c r="LV2" s="3" t="s">
        <v>582</v>
      </c>
      <c r="LW2" s="3">
        <v>4.0</v>
      </c>
      <c r="LX2" s="3">
        <v>4.0</v>
      </c>
      <c r="LY2" s="3">
        <v>3.0</v>
      </c>
      <c r="LZ2" s="3">
        <v>4.0</v>
      </c>
      <c r="MA2" s="3">
        <v>3.0</v>
      </c>
      <c r="MB2" s="3">
        <v>4.0</v>
      </c>
      <c r="MC2" s="3">
        <v>3.0</v>
      </c>
      <c r="MD2" s="3">
        <v>3.0</v>
      </c>
      <c r="ME2" s="3">
        <v>3.0</v>
      </c>
      <c r="MF2" s="3">
        <v>2.0</v>
      </c>
      <c r="MG2" s="3">
        <v>4.0</v>
      </c>
      <c r="MH2" s="3" t="s">
        <v>583</v>
      </c>
      <c r="MI2" s="3" t="s">
        <v>584</v>
      </c>
      <c r="MJ2" s="3">
        <v>3.0</v>
      </c>
      <c r="MK2" s="3">
        <v>4.0</v>
      </c>
      <c r="ML2" s="3">
        <v>4.0</v>
      </c>
      <c r="MM2" s="3">
        <v>3.0</v>
      </c>
      <c r="MN2" s="3">
        <v>4.0</v>
      </c>
      <c r="MO2" s="3">
        <v>3.0</v>
      </c>
      <c r="MP2" s="3">
        <v>2.0</v>
      </c>
      <c r="MQ2" s="3">
        <v>2.0</v>
      </c>
      <c r="MR2" s="3">
        <v>4.0</v>
      </c>
      <c r="MS2" s="3">
        <v>3.0</v>
      </c>
      <c r="MT2" s="3">
        <v>3.0</v>
      </c>
      <c r="MU2" s="3" t="s">
        <v>585</v>
      </c>
      <c r="MV2" s="3">
        <v>4.0</v>
      </c>
      <c r="MW2" s="3">
        <v>3.0</v>
      </c>
      <c r="MX2" s="3">
        <v>4.0</v>
      </c>
      <c r="MY2" s="3">
        <v>3.0</v>
      </c>
      <c r="MZ2" s="3">
        <v>3.0</v>
      </c>
      <c r="NA2" s="3">
        <v>4.0</v>
      </c>
      <c r="NB2" s="3">
        <v>4.0</v>
      </c>
      <c r="NC2" s="3">
        <v>3.0</v>
      </c>
      <c r="ND2" s="3">
        <v>4.0</v>
      </c>
      <c r="NE2" s="3">
        <v>3.0</v>
      </c>
      <c r="NF2" s="3">
        <v>4.0</v>
      </c>
      <c r="NG2" s="3" t="s">
        <v>586</v>
      </c>
      <c r="NH2" s="3">
        <v>3.0</v>
      </c>
      <c r="NI2" s="3">
        <v>4.0</v>
      </c>
      <c r="NJ2" s="3">
        <v>3.0</v>
      </c>
      <c r="NK2" s="3">
        <v>1.0</v>
      </c>
      <c r="NL2" s="3">
        <v>4.0</v>
      </c>
      <c r="NM2" s="3">
        <v>3.0</v>
      </c>
      <c r="NN2" s="3">
        <v>3.0</v>
      </c>
      <c r="NO2" s="3">
        <v>4.0</v>
      </c>
      <c r="NP2" s="3">
        <v>2.0</v>
      </c>
      <c r="NQ2" s="3">
        <v>4.0</v>
      </c>
      <c r="NR2" s="3">
        <v>3.0</v>
      </c>
      <c r="NS2" s="3" t="s">
        <v>587</v>
      </c>
      <c r="NT2" s="3">
        <v>3.0</v>
      </c>
      <c r="NU2" s="3">
        <v>4.0</v>
      </c>
      <c r="NV2" s="3">
        <v>3.0</v>
      </c>
      <c r="NW2" s="3">
        <v>3.0</v>
      </c>
      <c r="NX2" s="3">
        <v>2.0</v>
      </c>
      <c r="NY2" s="3">
        <v>3.0</v>
      </c>
      <c r="NZ2" s="3">
        <v>4.0</v>
      </c>
      <c r="OA2" s="3">
        <v>3.0</v>
      </c>
      <c r="OB2" s="3">
        <v>4.0</v>
      </c>
      <c r="OC2" s="3">
        <v>3.0</v>
      </c>
      <c r="OD2" s="3">
        <v>4.0</v>
      </c>
      <c r="OE2" s="3" t="s">
        <v>588</v>
      </c>
      <c r="OF2" s="3" t="s">
        <v>589</v>
      </c>
      <c r="OG2" s="3">
        <v>2.0</v>
      </c>
      <c r="OH2" s="3">
        <v>3.0</v>
      </c>
      <c r="OI2" s="3">
        <v>2.0</v>
      </c>
      <c r="OJ2" s="3">
        <v>4.0</v>
      </c>
      <c r="OK2" s="3">
        <v>3.0</v>
      </c>
      <c r="OL2" s="3">
        <v>4.0</v>
      </c>
      <c r="OM2" s="3">
        <v>3.0</v>
      </c>
      <c r="ON2" s="3">
        <v>4.0</v>
      </c>
      <c r="OO2" s="3">
        <v>2.0</v>
      </c>
      <c r="OP2" s="3">
        <v>4.0</v>
      </c>
      <c r="OQ2" s="3">
        <v>3.0</v>
      </c>
      <c r="OR2" s="3" t="s">
        <v>590</v>
      </c>
      <c r="OS2" s="3">
        <v>3.0</v>
      </c>
      <c r="OT2" s="3">
        <v>4.0</v>
      </c>
      <c r="OU2" s="3">
        <v>2.0</v>
      </c>
      <c r="OV2" s="3">
        <v>4.0</v>
      </c>
      <c r="OW2" s="3">
        <v>2.0</v>
      </c>
      <c r="OX2" s="3">
        <v>3.0</v>
      </c>
      <c r="OY2" s="3">
        <v>4.0</v>
      </c>
      <c r="OZ2" s="3">
        <v>3.0</v>
      </c>
      <c r="PA2" s="3">
        <v>4.0</v>
      </c>
      <c r="PB2" s="3">
        <v>2.0</v>
      </c>
      <c r="PC2" s="3">
        <v>4.0</v>
      </c>
      <c r="PD2" s="3" t="s">
        <v>591</v>
      </c>
      <c r="PE2" s="3">
        <v>4.0</v>
      </c>
      <c r="PF2" s="3">
        <v>2.0</v>
      </c>
      <c r="PG2" s="3">
        <v>4.0</v>
      </c>
      <c r="PH2" s="3">
        <v>3.0</v>
      </c>
      <c r="PI2" s="3">
        <v>3.0</v>
      </c>
      <c r="PJ2" s="3">
        <v>4.0</v>
      </c>
      <c r="PK2" s="3">
        <v>3.0</v>
      </c>
      <c r="PL2" s="3">
        <v>4.0</v>
      </c>
      <c r="PM2" s="3">
        <v>3.0</v>
      </c>
      <c r="PN2" s="3">
        <v>2.0</v>
      </c>
      <c r="PO2" s="3">
        <v>4.0</v>
      </c>
      <c r="PP2" s="3" t="s">
        <v>592</v>
      </c>
      <c r="PQ2" s="3">
        <v>4.0</v>
      </c>
      <c r="PR2" s="3">
        <v>1.0</v>
      </c>
      <c r="PS2" s="3">
        <v>3.0</v>
      </c>
      <c r="PT2" s="3">
        <v>2.0</v>
      </c>
      <c r="PU2" s="3">
        <v>4.0</v>
      </c>
      <c r="PV2" s="3">
        <v>2.0</v>
      </c>
      <c r="PW2" s="3">
        <v>3.0</v>
      </c>
      <c r="PX2" s="3">
        <v>4.0</v>
      </c>
      <c r="PY2" s="3">
        <v>3.0</v>
      </c>
      <c r="PZ2" s="3">
        <v>3.0</v>
      </c>
      <c r="QA2" s="3">
        <v>3.0</v>
      </c>
      <c r="QB2" s="3" t="s">
        <v>593</v>
      </c>
      <c r="QC2" s="3">
        <v>3.0</v>
      </c>
      <c r="QD2" s="3">
        <v>4.0</v>
      </c>
      <c r="QE2" s="3">
        <v>3.0</v>
      </c>
      <c r="QF2" s="3">
        <v>4.0</v>
      </c>
      <c r="QG2" s="3">
        <v>3.0</v>
      </c>
      <c r="QH2" s="3">
        <v>4.0</v>
      </c>
      <c r="QI2" s="3">
        <v>3.0</v>
      </c>
      <c r="QJ2" s="3">
        <v>4.0</v>
      </c>
      <c r="QK2" s="3">
        <v>3.0</v>
      </c>
      <c r="QL2" s="3">
        <v>4.0</v>
      </c>
      <c r="QM2" s="3">
        <v>3.0</v>
      </c>
      <c r="QN2" s="3" t="s">
        <v>594</v>
      </c>
      <c r="QO2" s="3">
        <v>3.0</v>
      </c>
      <c r="QP2" s="3">
        <v>4.0</v>
      </c>
      <c r="QQ2" s="3">
        <v>3.0</v>
      </c>
      <c r="QR2" s="3">
        <v>4.0</v>
      </c>
      <c r="QS2" s="3">
        <v>2.0</v>
      </c>
      <c r="QT2" s="3">
        <v>4.0</v>
      </c>
      <c r="QU2" s="3">
        <v>3.0</v>
      </c>
      <c r="QV2" s="3">
        <v>3.0</v>
      </c>
      <c r="QW2" s="3">
        <v>3.0</v>
      </c>
      <c r="QX2" s="3">
        <v>4.0</v>
      </c>
      <c r="QY2" s="3">
        <v>3.0</v>
      </c>
      <c r="QZ2" s="3" t="s">
        <v>595</v>
      </c>
      <c r="RA2" s="3">
        <v>3.0</v>
      </c>
      <c r="RB2" s="3">
        <v>4.0</v>
      </c>
      <c r="RC2" s="3">
        <v>4.0</v>
      </c>
      <c r="RD2" s="3">
        <v>3.0</v>
      </c>
      <c r="RE2" s="3">
        <v>3.0</v>
      </c>
      <c r="RF2" s="3">
        <v>4.0</v>
      </c>
      <c r="RG2" s="3">
        <v>3.0</v>
      </c>
      <c r="RH2" s="3">
        <v>4.0</v>
      </c>
      <c r="RI2" s="3">
        <v>3.0</v>
      </c>
      <c r="RJ2" s="3">
        <v>3.0</v>
      </c>
      <c r="RK2" s="3">
        <v>3.0</v>
      </c>
      <c r="RL2" s="3" t="s">
        <v>596</v>
      </c>
      <c r="RM2" s="3" t="s">
        <v>597</v>
      </c>
      <c r="RN2" s="3">
        <v>2.0</v>
      </c>
      <c r="RO2" s="3">
        <v>3.0</v>
      </c>
      <c r="RP2" s="3">
        <v>1.0</v>
      </c>
      <c r="RQ2" s="3">
        <v>3.0</v>
      </c>
      <c r="RR2" s="3">
        <v>4.0</v>
      </c>
      <c r="RS2" s="3">
        <v>4.0</v>
      </c>
      <c r="RT2" s="3">
        <v>3.0</v>
      </c>
      <c r="RU2" s="3">
        <v>4.0</v>
      </c>
      <c r="RV2" s="3">
        <v>3.0</v>
      </c>
      <c r="RW2" s="3">
        <v>4.0</v>
      </c>
      <c r="RX2" s="3">
        <v>3.0</v>
      </c>
      <c r="RY2" s="3" t="s">
        <v>598</v>
      </c>
      <c r="RZ2" s="3">
        <v>2.0</v>
      </c>
      <c r="SA2" s="3">
        <v>3.0</v>
      </c>
      <c r="SB2" s="3">
        <v>2.0</v>
      </c>
      <c r="SC2" s="3">
        <v>4.0</v>
      </c>
      <c r="SD2" s="3">
        <v>2.0</v>
      </c>
      <c r="SE2" s="3">
        <v>3.0</v>
      </c>
      <c r="SF2" s="3">
        <v>2.0</v>
      </c>
      <c r="SG2" s="3">
        <v>3.0</v>
      </c>
      <c r="SH2" s="3">
        <v>3.0</v>
      </c>
      <c r="SI2" s="3">
        <v>3.0</v>
      </c>
      <c r="SJ2" s="3">
        <v>3.0</v>
      </c>
      <c r="SK2" s="3" t="s">
        <v>599</v>
      </c>
      <c r="SL2" s="3">
        <v>4.0</v>
      </c>
      <c r="SM2" s="3">
        <v>3.0</v>
      </c>
      <c r="SN2" s="3">
        <v>4.0</v>
      </c>
      <c r="SO2" s="3">
        <v>3.0</v>
      </c>
      <c r="SP2" s="3">
        <v>4.0</v>
      </c>
      <c r="SQ2" s="3">
        <v>3.0</v>
      </c>
      <c r="SR2" s="3">
        <v>4.0</v>
      </c>
      <c r="SS2" s="3">
        <v>3.0</v>
      </c>
      <c r="ST2" s="3">
        <v>3.0</v>
      </c>
      <c r="SU2" s="3">
        <v>3.0</v>
      </c>
      <c r="SV2" s="3">
        <v>3.0</v>
      </c>
      <c r="SW2" s="3" t="s">
        <v>600</v>
      </c>
      <c r="SX2" s="3" t="s">
        <v>601</v>
      </c>
      <c r="SY2" s="3">
        <v>3.0</v>
      </c>
      <c r="SZ2" s="3">
        <v>2.0</v>
      </c>
      <c r="TA2" s="3">
        <v>4.0</v>
      </c>
      <c r="TB2" s="3">
        <v>3.0</v>
      </c>
      <c r="TC2" s="3">
        <v>4.0</v>
      </c>
      <c r="TD2" s="3">
        <v>3.0</v>
      </c>
      <c r="TE2" s="3">
        <v>3.0</v>
      </c>
      <c r="TF2" s="3">
        <v>3.0</v>
      </c>
      <c r="TG2" s="3">
        <v>3.0</v>
      </c>
      <c r="TH2" s="3">
        <v>3.0</v>
      </c>
      <c r="TI2" s="3">
        <v>3.0</v>
      </c>
      <c r="TJ2" s="3" t="s">
        <v>602</v>
      </c>
      <c r="TK2" s="3">
        <v>2.0</v>
      </c>
      <c r="TL2" s="3">
        <v>3.0</v>
      </c>
      <c r="TM2" s="3">
        <v>3.0</v>
      </c>
      <c r="TN2" s="3">
        <v>4.0</v>
      </c>
      <c r="TO2" s="3">
        <v>3.0</v>
      </c>
      <c r="TP2" s="3">
        <v>3.0</v>
      </c>
      <c r="TQ2" s="3">
        <v>4.0</v>
      </c>
      <c r="TR2" s="3">
        <v>3.0</v>
      </c>
      <c r="TS2" s="3">
        <v>4.0</v>
      </c>
      <c r="TT2" s="3">
        <v>3.0</v>
      </c>
      <c r="TU2" s="3">
        <v>3.0</v>
      </c>
      <c r="TV2" s="3" t="s">
        <v>603</v>
      </c>
      <c r="TW2" s="3">
        <v>4.0</v>
      </c>
      <c r="TX2" s="3">
        <v>3.0</v>
      </c>
      <c r="TY2" s="3">
        <v>4.0</v>
      </c>
      <c r="TZ2" s="3">
        <v>3.0</v>
      </c>
      <c r="UA2" s="3">
        <v>4.0</v>
      </c>
      <c r="UB2" s="3">
        <v>3.0</v>
      </c>
      <c r="UC2" s="3">
        <v>3.0</v>
      </c>
      <c r="UD2" s="3">
        <v>3.0</v>
      </c>
      <c r="UE2" s="3">
        <v>3.0</v>
      </c>
      <c r="UF2" s="3">
        <v>3.0</v>
      </c>
      <c r="UG2" s="3">
        <v>3.0</v>
      </c>
      <c r="UH2" s="3" t="s">
        <v>604</v>
      </c>
      <c r="UI2" s="3" t="s">
        <v>605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</cols>
  <sheetData>
    <row r="1">
      <c r="A1" s="6" t="s">
        <v>606</v>
      </c>
      <c r="B1" s="7" t="s">
        <v>607</v>
      </c>
      <c r="C1" s="7" t="s">
        <v>608</v>
      </c>
      <c r="D1" s="7" t="s">
        <v>609</v>
      </c>
      <c r="E1" s="7" t="s">
        <v>610</v>
      </c>
      <c r="F1" s="7" t="s">
        <v>611</v>
      </c>
      <c r="G1" s="7" t="s">
        <v>612</v>
      </c>
      <c r="H1" s="7" t="s">
        <v>613</v>
      </c>
      <c r="I1" s="7" t="s">
        <v>614</v>
      </c>
      <c r="J1" s="7" t="s">
        <v>615</v>
      </c>
      <c r="K1" s="7" t="s">
        <v>616</v>
      </c>
      <c r="L1" s="7" t="s">
        <v>617</v>
      </c>
      <c r="M1" s="8" t="s">
        <v>618</v>
      </c>
    </row>
    <row r="2">
      <c r="A2" s="8" t="s">
        <v>619</v>
      </c>
      <c r="B2" s="9">
        <f>IFERROR(__xludf.DUMMYFUNCTION("LET(
  h,'Respostas ao formulário 1'!$1:$1,
  d,'Respostas ao formulário 1'!$A$2:$ZZ998,
  pessoa,$A2,
  comp,B$1,
  padrao, pessoa &amp; ""( \([^)]*\))?.*\["" &amp; comp &amp; ""\]"",
  idx, FILTER(SEQUENCE(1,COLUMNS(h)), REGEXMATCH(h, padrao)),
  IFERROR( MEDIAN( T"&amp;"OCOL( CHOOSECOLS(d, idx ), 1 ) ), )
)"),1.0)</f>
        <v>1</v>
      </c>
      <c r="C2" s="9">
        <f>IFERROR(__xludf.DUMMYFUNCTION("LET(
  h,'Respostas ao formulário 1'!$1:$1,
  d,'Respostas ao formulário 1'!$A$2:$ZZ998,
  pessoa,$A2,
  comp,C$1,
  padrao, pessoa &amp; ""( \([^)]*\))?.*\["" &amp; comp &amp; ""\]"",
  idx, FILTER(SEQUENCE(1,COLUMNS(h)), REGEXMATCH(h, padrao)),
  IFERROR( MEDIAN( T"&amp;"OCOL( CHOOSECOLS(d, idx ), 1 ) ), )
)"),2.0)</f>
        <v>2</v>
      </c>
      <c r="D2" s="9">
        <f>IFERROR(__xludf.DUMMYFUNCTION("LET(
  h,'Respostas ao formulário 1'!$1:$1,
  d,'Respostas ao formulário 1'!$A$2:$ZZ998,
  pessoa,$A2,
  comp,D$1,
  padrao, pessoa &amp; ""( \([^)]*\))?.*\["" &amp; comp &amp; ""\]"",
  idx, FILTER(SEQUENCE(1,COLUMNS(h)), REGEXMATCH(h, padrao)),
  IFERROR( MEDIAN( T"&amp;"OCOL( CHOOSECOLS(d, idx ), 1 ) ), )
)"),3.0)</f>
        <v>3</v>
      </c>
      <c r="E2" s="9">
        <f>IFERROR(__xludf.DUMMYFUNCTION("LET(
  h,'Respostas ao formulário 1'!$1:$1,
  d,'Respostas ao formulário 1'!$A$2:$ZZ998,
  pessoa,$A2,
  comp,E$1,
  padrao, pessoa &amp; ""( \([^)]*\))?.*\["" &amp; comp &amp; ""\]"",
  idx, FILTER(SEQUENCE(1,COLUMNS(h)), REGEXMATCH(h, padrao)),
  IFERROR( MEDIAN( T"&amp;"OCOL( CHOOSECOLS(d, idx ), 1 ) ), )
)"),4.0)</f>
        <v>4</v>
      </c>
      <c r="F2" s="9">
        <f>IFERROR(__xludf.DUMMYFUNCTION("LET(
  h,'Respostas ao formulário 1'!$1:$1,
  d,'Respostas ao formulário 1'!$A$2:$ZZ998,
  pessoa,$A2,
  comp,F$1,
  padrao, pessoa &amp; ""( \([^)]*\))?.*\["" &amp; comp &amp; ""\]"",
  idx, FILTER(SEQUENCE(1,COLUMNS(h)), REGEXMATCH(h, padrao)),
  IFERROR( MEDIAN( T"&amp;"OCOL( CHOOSECOLS(d, idx ), 1 ) ), )
)"),3.0)</f>
        <v>3</v>
      </c>
      <c r="G2" s="9">
        <f>IFERROR(__xludf.DUMMYFUNCTION("LET(
  h,'Respostas ao formulário 1'!$1:$1,
  d,'Respostas ao formulário 1'!$A$2:$ZZ998,
  pessoa,$A2,
  comp,G$1,
  padrao, pessoa &amp; ""( \([^)]*\))?.*\["" &amp; comp &amp; ""\]"",
  idx, FILTER(SEQUENCE(1,COLUMNS(h)), REGEXMATCH(h, padrao)),
  IFERROR( MEDIAN( T"&amp;"OCOL( CHOOSECOLS(d, idx ), 1 ) ), )
)"),3.0)</f>
        <v>3</v>
      </c>
      <c r="H2" s="9">
        <f>IFERROR(__xludf.DUMMYFUNCTION("LET(
  h,'Respostas ao formulário 1'!$1:$1,
  d,'Respostas ao formulário 1'!$A$2:$ZZ998,
  pessoa,$A2,
  comp,H$1,
  padrao, pessoa &amp; ""( \([^)]*\))?.*\["" &amp; comp &amp; ""\]"",
  idx, FILTER(SEQUENCE(1,COLUMNS(h)), REGEXMATCH(h, padrao)),
  IFERROR( MEDIAN( T"&amp;"OCOL( CHOOSECOLS(d, idx ), 1 ) ), )
)"),3.0)</f>
        <v>3</v>
      </c>
      <c r="I2" s="9">
        <f>IFERROR(__xludf.DUMMYFUNCTION("LET(
  h,'Respostas ao formulário 1'!$1:$1,
  d,'Respostas ao formulário 1'!$A$2:$ZZ998,
  pessoa,$A2,
  comp,I$1,
  padrao, pessoa &amp; ""( \([^)]*\))?.*\["" &amp; comp &amp; ""\]"",
  idx, FILTER(SEQUENCE(1,COLUMNS(h)), REGEXMATCH(h, padrao)),
  IFERROR( MEDIAN( T"&amp;"OCOL( CHOOSECOLS(d, idx ), 1 ) ), )
)"),3.0)</f>
        <v>3</v>
      </c>
      <c r="J2" s="9">
        <f>IFERROR(__xludf.DUMMYFUNCTION("LET(
  h,'Respostas ao formulário 1'!$1:$1,
  d,'Respostas ao formulário 1'!$A$2:$ZZ998,
  pessoa,$A2,
  comp,J$1,
  padrao, pessoa &amp; ""( \([^)]*\))?.*\["" &amp; comp &amp; ""\]"",
  idx, FILTER(SEQUENCE(1,COLUMNS(h)), REGEXMATCH(h, padrao)),
  IFERROR( MEDIAN( T"&amp;"OCOL( CHOOSECOLS(d, idx ), 1 ) ), )
)"),3.0)</f>
        <v>3</v>
      </c>
      <c r="K2" s="9">
        <f>IFERROR(__xludf.DUMMYFUNCTION("LET(
  h,'Respostas ao formulário 1'!$1:$1,
  d,'Respostas ao formulário 1'!$A$2:$ZZ998,
  pessoa,$A2,
  comp,K$1,
  padrao, pessoa &amp; ""( \([^)]*\))?.*\["" &amp; comp &amp; ""\]"",
  idx, FILTER(SEQUENCE(1,COLUMNS(h)), REGEXMATCH(h, padrao)),
  IFERROR( MEDIAN( T"&amp;"OCOL( CHOOSECOLS(d, idx ), 1 ) ), )
)"),3.0)</f>
        <v>3</v>
      </c>
      <c r="L2" s="9">
        <f>IFERROR(__xludf.DUMMYFUNCTION("LET(
  h,'Respostas ao formulário 1'!$1:$1,
  d,'Respostas ao formulário 1'!$A$2:$ZZ998,
  pessoa,$A2,
  comp,L$1,
  padrao, pessoa &amp; ""( \([^)]*\))?.*\["" &amp; comp &amp; ""\]"",
  idx, FILTER(SEQUENCE(1,COLUMNS(h)), REGEXMATCH(h, padrao)),
  IFERROR( MEDIAN( T"&amp;"OCOL( CHOOSECOLS(d, idx ), 1 ) ), )
)"),3.0)</f>
        <v>3</v>
      </c>
      <c r="M2" s="10">
        <f t="shared" ref="M2:M28" si="1"> AVERAGE(B2:L2)</f>
        <v>2.818181818</v>
      </c>
    </row>
    <row r="3">
      <c r="A3" s="8" t="s">
        <v>620</v>
      </c>
      <c r="B3" s="9">
        <f>IFERROR(__xludf.DUMMYFUNCTION("LET(
  h,'Respostas ao formulário 1'!$1:$1,
  d,'Respostas ao formulário 1'!$A$2:$ZZ998,
  pessoa,$A3,
  comp,B$1,
  padrao, pessoa &amp; ""( \([^)]*\))?.*\["" &amp; comp &amp; ""\]"",
  idx, FILTER(SEQUENCE(1,COLUMNS(h)), REGEXMATCH(h, padrao)),
  IFERROR( MEDIAN( T"&amp;"OCOL( CHOOSECOLS(d, idx ), 1 ) ), )
)"),2.5)</f>
        <v>2.5</v>
      </c>
      <c r="C3" s="9">
        <f>IFERROR(__xludf.DUMMYFUNCTION("LET(
  h,'Respostas ao formulário 1'!$1:$1,
  d,'Respostas ao formulário 1'!$A$2:$ZZ998,
  pessoa,$A3,
  comp,C$1,
  padrao, pessoa &amp; ""( \([^)]*\))?.*\["" &amp; comp &amp; ""\]"",
  idx, FILTER(SEQUENCE(1,COLUMNS(h)), REGEXMATCH(h, padrao)),
  IFERROR( MEDIAN( T"&amp;"OCOL( CHOOSECOLS(d, idx ), 1 ) ), )
)"),2.5)</f>
        <v>2.5</v>
      </c>
      <c r="D3" s="9">
        <f>IFERROR(__xludf.DUMMYFUNCTION("LET(
  h,'Respostas ao formulário 1'!$1:$1,
  d,'Respostas ao formulário 1'!$A$2:$ZZ998,
  pessoa,$A3,
  comp,D$1,
  padrao, pessoa &amp; ""( \([^)]*\))?.*\["" &amp; comp &amp; ""\]"",
  idx, FILTER(SEQUENCE(1,COLUMNS(h)), REGEXMATCH(h, padrao)),
  IFERROR( MEDIAN( T"&amp;"OCOL( CHOOSECOLS(d, idx ), 1 ) ), )
)"),2.5)</f>
        <v>2.5</v>
      </c>
      <c r="E3" s="9">
        <f>IFERROR(__xludf.DUMMYFUNCTION("LET(
  h,'Respostas ao formulário 1'!$1:$1,
  d,'Respostas ao formulário 1'!$A$2:$ZZ998,
  pessoa,$A3,
  comp,E$1,
  padrao, pessoa &amp; ""( \([^)]*\))?.*\["" &amp; comp &amp; ""\]"",
  idx, FILTER(SEQUENCE(1,COLUMNS(h)), REGEXMATCH(h, padrao)),
  IFERROR( MEDIAN( T"&amp;"OCOL( CHOOSECOLS(d, idx ), 1 ) ), )
)"),3.0)</f>
        <v>3</v>
      </c>
      <c r="F3" s="9">
        <f>IFERROR(__xludf.DUMMYFUNCTION("LET(
  h,'Respostas ao formulário 1'!$1:$1,
  d,'Respostas ao formulário 1'!$A$2:$ZZ998,
  pessoa,$A3,
  comp,F$1,
  padrao, pessoa &amp; ""( \([^)]*\))?.*\["" &amp; comp &amp; ""\]"",
  idx, FILTER(SEQUENCE(1,COLUMNS(h)), REGEXMATCH(h, padrao)),
  IFERROR( MEDIAN( T"&amp;"OCOL( CHOOSECOLS(d, idx ), 1 ) ), )
)"),2.5)</f>
        <v>2.5</v>
      </c>
      <c r="G3" s="9">
        <f>IFERROR(__xludf.DUMMYFUNCTION("LET(
  h,'Respostas ao formulário 1'!$1:$1,
  d,'Respostas ao formulário 1'!$A$2:$ZZ998,
  pessoa,$A3,
  comp,G$1,
  padrao, pessoa &amp; ""( \([^)]*\))?.*\["" &amp; comp &amp; ""\]"",
  idx, FILTER(SEQUENCE(1,COLUMNS(h)), REGEXMATCH(h, padrao)),
  IFERROR( MEDIAN( T"&amp;"OCOL( CHOOSECOLS(d, idx ), 1 ) ), )
)"),3.0)</f>
        <v>3</v>
      </c>
      <c r="H3" s="9">
        <f>IFERROR(__xludf.DUMMYFUNCTION("LET(
  h,'Respostas ao formulário 1'!$1:$1,
  d,'Respostas ao formulário 1'!$A$2:$ZZ998,
  pessoa,$A3,
  comp,H$1,
  padrao, pessoa &amp; ""( \([^)]*\))?.*\["" &amp; comp &amp; ""\]"",
  idx, FILTER(SEQUENCE(1,COLUMNS(h)), REGEXMATCH(h, padrao)),
  IFERROR( MEDIAN( T"&amp;"OCOL( CHOOSECOLS(d, idx ), 1 ) ), )
)"),3.5)</f>
        <v>3.5</v>
      </c>
      <c r="I3" s="9">
        <f>IFERROR(__xludf.DUMMYFUNCTION("LET(
  h,'Respostas ao formulário 1'!$1:$1,
  d,'Respostas ao formulário 1'!$A$2:$ZZ998,
  pessoa,$A3,
  comp,I$1,
  padrao, pessoa &amp; ""( \([^)]*\))?.*\["" &amp; comp &amp; ""\]"",
  idx, FILTER(SEQUENCE(1,COLUMNS(h)), REGEXMATCH(h, padrao)),
  IFERROR( MEDIAN( T"&amp;"OCOL( CHOOSECOLS(d, idx ), 1 ) ), )
)"),3.0)</f>
        <v>3</v>
      </c>
      <c r="J3" s="9">
        <f>IFERROR(__xludf.DUMMYFUNCTION("LET(
  h,'Respostas ao formulário 1'!$1:$1,
  d,'Respostas ao formulário 1'!$A$2:$ZZ998,
  pessoa,$A3,
  comp,J$1,
  padrao, pessoa &amp; ""( \([^)]*\))?.*\["" &amp; comp &amp; ""\]"",
  idx, FILTER(SEQUENCE(1,COLUMNS(h)), REGEXMATCH(h, padrao)),
  IFERROR( MEDIAN( T"&amp;"OCOL( CHOOSECOLS(d, idx ), 1 ) ), )
)"),2.5)</f>
        <v>2.5</v>
      </c>
      <c r="K3" s="9">
        <f>IFERROR(__xludf.DUMMYFUNCTION("LET(
  h,'Respostas ao formulário 1'!$1:$1,
  d,'Respostas ao formulário 1'!$A$2:$ZZ998,
  pessoa,$A3,
  comp,K$1,
  padrao, pessoa &amp; ""( \([^)]*\))?.*\["" &amp; comp &amp; ""\]"",
  idx, FILTER(SEQUENCE(1,COLUMNS(h)), REGEXMATCH(h, padrao)),
  IFERROR( MEDIAN( T"&amp;"OCOL( CHOOSECOLS(d, idx ), 1 ) ), )
)"),3.5)</f>
        <v>3.5</v>
      </c>
      <c r="L3" s="9">
        <f>IFERROR(__xludf.DUMMYFUNCTION("LET(
  h,'Respostas ao formulário 1'!$1:$1,
  d,'Respostas ao formulário 1'!$A$2:$ZZ998,
  pessoa,$A3,
  comp,L$1,
  padrao, pessoa &amp; ""( \([^)]*\))?.*\["" &amp; comp &amp; ""\]"",
  idx, FILTER(SEQUENCE(1,COLUMNS(h)), REGEXMATCH(h, padrao)),
  IFERROR( MEDIAN( T"&amp;"OCOL( CHOOSECOLS(d, idx ), 1 ) ), )
)"),3.0)</f>
        <v>3</v>
      </c>
      <c r="M3" s="10">
        <f t="shared" si="1"/>
        <v>2.863636364</v>
      </c>
    </row>
    <row r="4">
      <c r="A4" s="8" t="s">
        <v>621</v>
      </c>
      <c r="B4" s="9">
        <f>IFERROR(__xludf.DUMMYFUNCTION("LET(
  h,'Respostas ao formulário 1'!$1:$1,
  d,'Respostas ao formulário 1'!$A$2:$ZZ998,
  pessoa,$A4,
  comp,B$1,
  padrao, pessoa &amp; ""( \([^)]*\))?.*\["" &amp; comp &amp; ""\]"",
  idx, FILTER(SEQUENCE(1,COLUMNS(h)), REGEXMATCH(h, padrao)),
  IFERROR( MEDIAN( T"&amp;"OCOL( CHOOSECOLS(d, idx ), 1 ) ), )
)"),2.0)</f>
        <v>2</v>
      </c>
      <c r="C4" s="9">
        <f>IFERROR(__xludf.DUMMYFUNCTION("LET(
  h,'Respostas ao formulário 1'!$1:$1,
  d,'Respostas ao formulário 1'!$A$2:$ZZ998,
  pessoa,$A4,
  comp,C$1,
  padrao, pessoa &amp; ""( \([^)]*\))?.*\["" &amp; comp &amp; ""\]"",
  idx, FILTER(SEQUENCE(1,COLUMNS(h)), REGEXMATCH(h, padrao)),
  IFERROR( MEDIAN( T"&amp;"OCOL( CHOOSECOLS(d, idx ), 1 ) ), )
)"),1.0)</f>
        <v>1</v>
      </c>
      <c r="D4" s="9">
        <f>IFERROR(__xludf.DUMMYFUNCTION("LET(
  h,'Respostas ao formulário 1'!$1:$1,
  d,'Respostas ao formulário 1'!$A$2:$ZZ998,
  pessoa,$A4,
  comp,D$1,
  padrao, pessoa &amp; ""( \([^)]*\))?.*\["" &amp; comp &amp; ""\]"",
  idx, FILTER(SEQUENCE(1,COLUMNS(h)), REGEXMATCH(h, padrao)),
  IFERROR( MEDIAN( T"&amp;"OCOL( CHOOSECOLS(d, idx ), 1 ) ), )
)"),4.0)</f>
        <v>4</v>
      </c>
      <c r="E4" s="9">
        <f>IFERROR(__xludf.DUMMYFUNCTION("LET(
  h,'Respostas ao formulário 1'!$1:$1,
  d,'Respostas ao formulário 1'!$A$2:$ZZ998,
  pessoa,$A4,
  comp,E$1,
  padrao, pessoa &amp; ""( \([^)]*\))?.*\["" &amp; comp &amp; ""\]"",
  idx, FILTER(SEQUENCE(1,COLUMNS(h)), REGEXMATCH(h, padrao)),
  IFERROR( MEDIAN( T"&amp;"OCOL( CHOOSECOLS(d, idx ), 1 ) ), )
)"),3.0)</f>
        <v>3</v>
      </c>
      <c r="F4" s="9">
        <f>IFERROR(__xludf.DUMMYFUNCTION("LET(
  h,'Respostas ao formulário 1'!$1:$1,
  d,'Respostas ao formulário 1'!$A$2:$ZZ998,
  pessoa,$A4,
  comp,F$1,
  padrao, pessoa &amp; ""( \([^)]*\))?.*\["" &amp; comp &amp; ""\]"",
  idx, FILTER(SEQUENCE(1,COLUMNS(h)), REGEXMATCH(h, padrao)),
  IFERROR( MEDIAN( T"&amp;"OCOL( CHOOSECOLS(d, idx ), 1 ) ), )
)"),3.0)</f>
        <v>3</v>
      </c>
      <c r="G4" s="9">
        <f>IFERROR(__xludf.DUMMYFUNCTION("LET(
  h,'Respostas ao formulário 1'!$1:$1,
  d,'Respostas ao formulário 1'!$A$2:$ZZ998,
  pessoa,$A4,
  comp,G$1,
  padrao, pessoa &amp; ""( \([^)]*\))?.*\["" &amp; comp &amp; ""\]"",
  idx, FILTER(SEQUENCE(1,COLUMNS(h)), REGEXMATCH(h, padrao)),
  IFERROR( MEDIAN( T"&amp;"OCOL( CHOOSECOLS(d, idx ), 1 ) ), )
)"),4.0)</f>
        <v>4</v>
      </c>
      <c r="H4" s="9">
        <f>IFERROR(__xludf.DUMMYFUNCTION("LET(
  h,'Respostas ao formulário 1'!$1:$1,
  d,'Respostas ao formulário 1'!$A$2:$ZZ998,
  pessoa,$A4,
  comp,H$1,
  padrao, pessoa &amp; ""( \([^)]*\))?.*\["" &amp; comp &amp; ""\]"",
  idx, FILTER(SEQUENCE(1,COLUMNS(h)), REGEXMATCH(h, padrao)),
  IFERROR( MEDIAN( T"&amp;"OCOL( CHOOSECOLS(d, idx ), 1 ) ), )
)"),4.0)</f>
        <v>4</v>
      </c>
      <c r="I4" s="9">
        <f>IFERROR(__xludf.DUMMYFUNCTION("LET(
  h,'Respostas ao formulário 1'!$1:$1,
  d,'Respostas ao formulário 1'!$A$2:$ZZ998,
  pessoa,$A4,
  comp,I$1,
  padrao, pessoa &amp; ""( \([^)]*\))?.*\["" &amp; comp &amp; ""\]"",
  idx, FILTER(SEQUENCE(1,COLUMNS(h)), REGEXMATCH(h, padrao)),
  IFERROR( MEDIAN( T"&amp;"OCOL( CHOOSECOLS(d, idx ), 1 ) ), )
)"),3.0)</f>
        <v>3</v>
      </c>
      <c r="J4" s="9">
        <f>IFERROR(__xludf.DUMMYFUNCTION("LET(
  h,'Respostas ao formulário 1'!$1:$1,
  d,'Respostas ao formulário 1'!$A$2:$ZZ998,
  pessoa,$A4,
  comp,J$1,
  padrao, pessoa &amp; ""( \([^)]*\))?.*\["" &amp; comp &amp; ""\]"",
  idx, FILTER(SEQUENCE(1,COLUMNS(h)), REGEXMATCH(h, padrao)),
  IFERROR( MEDIAN( T"&amp;"OCOL( CHOOSECOLS(d, idx ), 1 ) ), )
)"),4.0)</f>
        <v>4</v>
      </c>
      <c r="K4" s="9">
        <f>IFERROR(__xludf.DUMMYFUNCTION("LET(
  h,'Respostas ao formulário 1'!$1:$1,
  d,'Respostas ao formulário 1'!$A$2:$ZZ998,
  pessoa,$A4,
  comp,K$1,
  padrao, pessoa &amp; ""( \([^)]*\))?.*\["" &amp; comp &amp; ""\]"",
  idx, FILTER(SEQUENCE(1,COLUMNS(h)), REGEXMATCH(h, padrao)),
  IFERROR( MEDIAN( T"&amp;"OCOL( CHOOSECOLS(d, idx ), 1 ) ), )
)"),3.0)</f>
        <v>3</v>
      </c>
      <c r="L4" s="9">
        <f>IFERROR(__xludf.DUMMYFUNCTION("LET(
  h,'Respostas ao formulário 1'!$1:$1,
  d,'Respostas ao formulário 1'!$A$2:$ZZ998,
  pessoa,$A4,
  comp,L$1,
  padrao, pessoa &amp; ""( \([^)]*\))?.*\["" &amp; comp &amp; ""\]"",
  idx, FILTER(SEQUENCE(1,COLUMNS(h)), REGEXMATCH(h, padrao)),
  IFERROR( MEDIAN( T"&amp;"OCOL( CHOOSECOLS(d, idx ), 1 ) ), )
)"),4.0)</f>
        <v>4</v>
      </c>
      <c r="M4" s="10">
        <f t="shared" si="1"/>
        <v>3.181818182</v>
      </c>
    </row>
    <row r="5">
      <c r="A5" s="8" t="s">
        <v>622</v>
      </c>
      <c r="B5" s="9">
        <f>IFERROR(__xludf.DUMMYFUNCTION("LET(
  h,'Respostas ao formulário 1'!$1:$1,
  d,'Respostas ao formulário 1'!$A$2:$ZZ998,
  pessoa,$A5,
  comp,B$1,
  padrao, pessoa &amp; ""( \([^)]*\))?.*\["" &amp; comp &amp; ""\]"",
  idx, FILTER(SEQUENCE(1,COLUMNS(h)), REGEXMATCH(h, padrao)),
  IFERROR( MEDIAN( T"&amp;"OCOL( CHOOSECOLS(d, idx ), 1 ) ), )
)"),2.0)</f>
        <v>2</v>
      </c>
      <c r="C5" s="9">
        <f>IFERROR(__xludf.DUMMYFUNCTION("LET(
  h,'Respostas ao formulário 1'!$1:$1,
  d,'Respostas ao formulário 1'!$A$2:$ZZ998,
  pessoa,$A5,
  comp,C$1,
  padrao, pessoa &amp; ""( \([^)]*\))?.*\["" &amp; comp &amp; ""\]"",
  idx, FILTER(SEQUENCE(1,COLUMNS(h)), REGEXMATCH(h, padrao)),
  IFERROR( MEDIAN( T"&amp;"OCOL( CHOOSECOLS(d, idx ), 1 ) ), )
)"),4.0)</f>
        <v>4</v>
      </c>
      <c r="D5" s="9">
        <f>IFERROR(__xludf.DUMMYFUNCTION("LET(
  h,'Respostas ao formulário 1'!$1:$1,
  d,'Respostas ao formulário 1'!$A$2:$ZZ998,
  pessoa,$A5,
  comp,D$1,
  padrao, pessoa &amp; ""( \([^)]*\))?.*\["" &amp; comp &amp; ""\]"",
  idx, FILTER(SEQUENCE(1,COLUMNS(h)), REGEXMATCH(h, padrao)),
  IFERROR( MEDIAN( T"&amp;"OCOL( CHOOSECOLS(d, idx ), 1 ) ), )
)"),3.0)</f>
        <v>3</v>
      </c>
      <c r="E5" s="9">
        <f>IFERROR(__xludf.DUMMYFUNCTION("LET(
  h,'Respostas ao formulário 1'!$1:$1,
  d,'Respostas ao formulário 1'!$A$2:$ZZ998,
  pessoa,$A5,
  comp,E$1,
  padrao, pessoa &amp; ""( \([^)]*\))?.*\["" &amp; comp &amp; ""\]"",
  idx, FILTER(SEQUENCE(1,COLUMNS(h)), REGEXMATCH(h, padrao)),
  IFERROR( MEDIAN( T"&amp;"OCOL( CHOOSECOLS(d, idx ), 1 ) ), )
)"),3.0)</f>
        <v>3</v>
      </c>
      <c r="F5" s="9">
        <f>IFERROR(__xludf.DUMMYFUNCTION("LET(
  h,'Respostas ao formulário 1'!$1:$1,
  d,'Respostas ao formulário 1'!$A$2:$ZZ998,
  pessoa,$A5,
  comp,F$1,
  padrao, pessoa &amp; ""( \([^)]*\))?.*\["" &amp; comp &amp; ""\]"",
  idx, FILTER(SEQUENCE(1,COLUMNS(h)), REGEXMATCH(h, padrao)),
  IFERROR( MEDIAN( T"&amp;"OCOL( CHOOSECOLS(d, idx ), 1 ) ), )
)"),3.0)</f>
        <v>3</v>
      </c>
      <c r="G5" s="9">
        <f>IFERROR(__xludf.DUMMYFUNCTION("LET(
  h,'Respostas ao formulário 1'!$1:$1,
  d,'Respostas ao formulário 1'!$A$2:$ZZ998,
  pessoa,$A5,
  comp,G$1,
  padrao, pessoa &amp; ""( \([^)]*\))?.*\["" &amp; comp &amp; ""\]"",
  idx, FILTER(SEQUENCE(1,COLUMNS(h)), REGEXMATCH(h, padrao)),
  IFERROR( MEDIAN( T"&amp;"OCOL( CHOOSECOLS(d, idx ), 1 ) ), )
)"),4.0)</f>
        <v>4</v>
      </c>
      <c r="H5" s="9">
        <f>IFERROR(__xludf.DUMMYFUNCTION("LET(
  h,'Respostas ao formulário 1'!$1:$1,
  d,'Respostas ao formulário 1'!$A$2:$ZZ998,
  pessoa,$A5,
  comp,H$1,
  padrao, pessoa &amp; ""( \([^)]*\))?.*\["" &amp; comp &amp; ""\]"",
  idx, FILTER(SEQUENCE(1,COLUMNS(h)), REGEXMATCH(h, padrao)),
  IFERROR( MEDIAN( T"&amp;"OCOL( CHOOSECOLS(d, idx ), 1 ) ), )
)"),2.0)</f>
        <v>2</v>
      </c>
      <c r="I5" s="9">
        <f>IFERROR(__xludf.DUMMYFUNCTION("LET(
  h,'Respostas ao formulário 1'!$1:$1,
  d,'Respostas ao formulário 1'!$A$2:$ZZ998,
  pessoa,$A5,
  comp,I$1,
  padrao, pessoa &amp; ""( \([^)]*\))?.*\["" &amp; comp &amp; ""\]"",
  idx, FILTER(SEQUENCE(1,COLUMNS(h)), REGEXMATCH(h, padrao)),
  IFERROR( MEDIAN( T"&amp;"OCOL( CHOOSECOLS(d, idx ), 1 ) ), )
)"),3.0)</f>
        <v>3</v>
      </c>
      <c r="J5" s="9">
        <f>IFERROR(__xludf.DUMMYFUNCTION("LET(
  h,'Respostas ao formulário 1'!$1:$1,
  d,'Respostas ao formulário 1'!$A$2:$ZZ998,
  pessoa,$A5,
  comp,J$1,
  padrao, pessoa &amp; ""( \([^)]*\))?.*\["" &amp; comp &amp; ""\]"",
  idx, FILTER(SEQUENCE(1,COLUMNS(h)), REGEXMATCH(h, padrao)),
  IFERROR( MEDIAN( T"&amp;"OCOL( CHOOSECOLS(d, idx ), 1 ) ), )
)"),2.0)</f>
        <v>2</v>
      </c>
      <c r="K5" s="9">
        <f>IFERROR(__xludf.DUMMYFUNCTION("LET(
  h,'Respostas ao formulário 1'!$1:$1,
  d,'Respostas ao formulário 1'!$A$2:$ZZ998,
  pessoa,$A5,
  comp,K$1,
  padrao, pessoa &amp; ""( \([^)]*\))?.*\["" &amp; comp &amp; ""\]"",
  idx, FILTER(SEQUENCE(1,COLUMNS(h)), REGEXMATCH(h, padrao)),
  IFERROR( MEDIAN( T"&amp;"OCOL( CHOOSECOLS(d, idx ), 1 ) ), )
)"),4.0)</f>
        <v>4</v>
      </c>
      <c r="L5" s="9">
        <f>IFERROR(__xludf.DUMMYFUNCTION("LET(
  h,'Respostas ao formulário 1'!$1:$1,
  d,'Respostas ao formulário 1'!$A$2:$ZZ998,
  pessoa,$A5,
  comp,L$1,
  padrao, pessoa &amp; ""( \([^)]*\))?.*\["" &amp; comp &amp; ""\]"",
  idx, FILTER(SEQUENCE(1,COLUMNS(h)), REGEXMATCH(h, padrao)),
  IFERROR( MEDIAN( T"&amp;"OCOL( CHOOSECOLS(d, idx ), 1 ) ), )
)"),3.0)</f>
        <v>3</v>
      </c>
      <c r="M5" s="10">
        <f t="shared" si="1"/>
        <v>3</v>
      </c>
    </row>
    <row r="6">
      <c r="A6" s="8" t="s">
        <v>623</v>
      </c>
      <c r="B6" s="9">
        <f>IFERROR(__xludf.DUMMYFUNCTION("LET(
  h,'Respostas ao formulário 1'!$1:$1,
  d,'Respostas ao formulário 1'!$A$2:$ZZ998,
  pessoa,$A6,
  comp,B$1,
  padrao, pessoa &amp; ""( \([^)]*\))?.*\["" &amp; comp &amp; ""\]"",
  idx, FILTER(SEQUENCE(1,COLUMNS(h)), REGEXMATCH(h, padrao)),
  IFERROR( MEDIAN( T"&amp;"OCOL( CHOOSECOLS(d, idx ), 1 ) ), )
)"),3.0)</f>
        <v>3</v>
      </c>
      <c r="C6" s="9">
        <f>IFERROR(__xludf.DUMMYFUNCTION("LET(
  h,'Respostas ao formulário 1'!$1:$1,
  d,'Respostas ao formulário 1'!$A$2:$ZZ998,
  pessoa,$A6,
  comp,C$1,
  padrao, pessoa &amp; ""( \([^)]*\))?.*\["" &amp; comp &amp; ""\]"",
  idx, FILTER(SEQUENCE(1,COLUMNS(h)), REGEXMATCH(h, padrao)),
  IFERROR( MEDIAN( T"&amp;"OCOL( CHOOSECOLS(d, idx ), 1 ) ), )
)"),3.5)</f>
        <v>3.5</v>
      </c>
      <c r="D6" s="9">
        <f>IFERROR(__xludf.DUMMYFUNCTION("LET(
  h,'Respostas ao formulário 1'!$1:$1,
  d,'Respostas ao formulário 1'!$A$2:$ZZ998,
  pessoa,$A6,
  comp,D$1,
  padrao, pessoa &amp; ""( \([^)]*\))?.*\["" &amp; comp &amp; ""\]"",
  idx, FILTER(SEQUENCE(1,COLUMNS(h)), REGEXMATCH(h, padrao)),
  IFERROR( MEDIAN( T"&amp;"OCOL( CHOOSECOLS(d, idx ), 1 ) ), )
)"),3.5)</f>
        <v>3.5</v>
      </c>
      <c r="E6" s="9">
        <f>IFERROR(__xludf.DUMMYFUNCTION("LET(
  h,'Respostas ao formulário 1'!$1:$1,
  d,'Respostas ao formulário 1'!$A$2:$ZZ998,
  pessoa,$A6,
  comp,E$1,
  padrao, pessoa &amp; ""( \([^)]*\))?.*\["" &amp; comp &amp; ""\]"",
  idx, FILTER(SEQUENCE(1,COLUMNS(h)), REGEXMATCH(h, padrao)),
  IFERROR( MEDIAN( T"&amp;"OCOL( CHOOSECOLS(d, idx ), 1 ) ), )
)"),3.0)</f>
        <v>3</v>
      </c>
      <c r="F6" s="9">
        <f>IFERROR(__xludf.DUMMYFUNCTION("LET(
  h,'Respostas ao formulário 1'!$1:$1,
  d,'Respostas ao formulário 1'!$A$2:$ZZ998,
  pessoa,$A6,
  comp,F$1,
  padrao, pessoa &amp; ""( \([^)]*\))?.*\["" &amp; comp &amp; ""\]"",
  idx, FILTER(SEQUENCE(1,COLUMNS(h)), REGEXMATCH(h, padrao)),
  IFERROR( MEDIAN( T"&amp;"OCOL( CHOOSECOLS(d, idx ), 1 ) ), )
)"),3.5)</f>
        <v>3.5</v>
      </c>
      <c r="G6" s="9">
        <f>IFERROR(__xludf.DUMMYFUNCTION("LET(
  h,'Respostas ao formulário 1'!$1:$1,
  d,'Respostas ao formulário 1'!$A$2:$ZZ998,
  pessoa,$A6,
  comp,G$1,
  padrao, pessoa &amp; ""( \([^)]*\))?.*\["" &amp; comp &amp; ""\]"",
  idx, FILTER(SEQUENCE(1,COLUMNS(h)), REGEXMATCH(h, padrao)),
  IFERROR( MEDIAN( T"&amp;"OCOL( CHOOSECOLS(d, idx ), 1 ) ), )
)"),3.0)</f>
        <v>3</v>
      </c>
      <c r="H6" s="9">
        <f>IFERROR(__xludf.DUMMYFUNCTION("LET(
  h,'Respostas ao formulário 1'!$1:$1,
  d,'Respostas ao formulário 1'!$A$2:$ZZ998,
  pessoa,$A6,
  comp,H$1,
  padrao, pessoa &amp; ""( \([^)]*\))?.*\["" &amp; comp &amp; ""\]"",
  idx, FILTER(SEQUENCE(1,COLUMNS(h)), REGEXMATCH(h, padrao)),
  IFERROR( MEDIAN( T"&amp;"OCOL( CHOOSECOLS(d, idx ), 1 ) ), )
)"),3.0)</f>
        <v>3</v>
      </c>
      <c r="I6" s="9">
        <f>IFERROR(__xludf.DUMMYFUNCTION("LET(
  h,'Respostas ao formulário 1'!$1:$1,
  d,'Respostas ao formulário 1'!$A$2:$ZZ998,
  pessoa,$A6,
  comp,I$1,
  padrao, pessoa &amp; ""( \([^)]*\))?.*\["" &amp; comp &amp; ""\]"",
  idx, FILTER(SEQUENCE(1,COLUMNS(h)), REGEXMATCH(h, padrao)),
  IFERROR( MEDIAN( T"&amp;"OCOL( CHOOSECOLS(d, idx ), 1 ) ), )
)"),3.5)</f>
        <v>3.5</v>
      </c>
      <c r="J6" s="9">
        <f>IFERROR(__xludf.DUMMYFUNCTION("LET(
  h,'Respostas ao formulário 1'!$1:$1,
  d,'Respostas ao formulário 1'!$A$2:$ZZ998,
  pessoa,$A6,
  comp,J$1,
  padrao, pessoa &amp; ""( \([^)]*\))?.*\["" &amp; comp &amp; ""\]"",
  idx, FILTER(SEQUENCE(1,COLUMNS(h)), REGEXMATCH(h, padrao)),
  IFERROR( MEDIAN( T"&amp;"OCOL( CHOOSECOLS(d, idx ), 1 ) ), )
)"),4.0)</f>
        <v>4</v>
      </c>
      <c r="K6" s="9">
        <f>IFERROR(__xludf.DUMMYFUNCTION("LET(
  h,'Respostas ao formulário 1'!$1:$1,
  d,'Respostas ao formulário 1'!$A$2:$ZZ998,
  pessoa,$A6,
  comp,K$1,
  padrao, pessoa &amp; ""( \([^)]*\))?.*\["" &amp; comp &amp; ""\]"",
  idx, FILTER(SEQUENCE(1,COLUMNS(h)), REGEXMATCH(h, padrao)),
  IFERROR( MEDIAN( T"&amp;"OCOL( CHOOSECOLS(d, idx ), 1 ) ), )
)"),2.5)</f>
        <v>2.5</v>
      </c>
      <c r="L6" s="9">
        <f>IFERROR(__xludf.DUMMYFUNCTION("LET(
  h,'Respostas ao formulário 1'!$1:$1,
  d,'Respostas ao formulário 1'!$A$2:$ZZ998,
  pessoa,$A6,
  comp,L$1,
  padrao, pessoa &amp; ""( \([^)]*\))?.*\["" &amp; comp &amp; ""\]"",
  idx, FILTER(SEQUENCE(1,COLUMNS(h)), REGEXMATCH(h, padrao)),
  IFERROR( MEDIAN( T"&amp;"OCOL( CHOOSECOLS(d, idx ), 1 ) ), )
)"),3.0)</f>
        <v>3</v>
      </c>
      <c r="M6" s="10">
        <f t="shared" si="1"/>
        <v>3.227272727</v>
      </c>
    </row>
    <row r="7">
      <c r="A7" s="8" t="s">
        <v>624</v>
      </c>
      <c r="B7" s="9">
        <f>IFERROR(__xludf.DUMMYFUNCTION("LET(
  h,'Respostas ao formulário 1'!$1:$1,
  d,'Respostas ao formulário 1'!$A$2:$ZZ998,
  pessoa,$A7,
  comp,B$1,
  padrao, pessoa &amp; ""( \([^)]*\))?.*\["" &amp; comp &amp; ""\]"",
  idx, FILTER(SEQUENCE(1,COLUMNS(h)), REGEXMATCH(h, padrao)),
  IFERROR( MEDIAN( T"&amp;"OCOL( CHOOSECOLS(d, idx ), 1 ) ), )
)"),3.0)</f>
        <v>3</v>
      </c>
      <c r="C7" s="9">
        <f>IFERROR(__xludf.DUMMYFUNCTION("LET(
  h,'Respostas ao formulário 1'!$1:$1,
  d,'Respostas ao formulário 1'!$A$2:$ZZ998,
  pessoa,$A7,
  comp,C$1,
  padrao, pessoa &amp; ""( \([^)]*\))?.*\["" &amp; comp &amp; ""\]"",
  idx, FILTER(SEQUENCE(1,COLUMNS(h)), REGEXMATCH(h, padrao)),
  IFERROR( MEDIAN( T"&amp;"OCOL( CHOOSECOLS(d, idx ), 1 ) ), )
)"),2.5)</f>
        <v>2.5</v>
      </c>
      <c r="D7" s="9">
        <f>IFERROR(__xludf.DUMMYFUNCTION("LET(
  h,'Respostas ao formulário 1'!$1:$1,
  d,'Respostas ao formulário 1'!$A$2:$ZZ998,
  pessoa,$A7,
  comp,D$1,
  padrao, pessoa &amp; ""( \([^)]*\))?.*\["" &amp; comp &amp; ""\]"",
  idx, FILTER(SEQUENCE(1,COLUMNS(h)), REGEXMATCH(h, padrao)),
  IFERROR( MEDIAN( T"&amp;"OCOL( CHOOSECOLS(d, idx ), 1 ) ), )
)"),3.5)</f>
        <v>3.5</v>
      </c>
      <c r="E7" s="9">
        <f>IFERROR(__xludf.DUMMYFUNCTION("LET(
  h,'Respostas ao formulário 1'!$1:$1,
  d,'Respostas ao formulário 1'!$A$2:$ZZ998,
  pessoa,$A7,
  comp,E$1,
  padrao, pessoa &amp; ""( \([^)]*\))?.*\["" &amp; comp &amp; ""\]"",
  idx, FILTER(SEQUENCE(1,COLUMNS(h)), REGEXMATCH(h, padrao)),
  IFERROR( MEDIAN( T"&amp;"OCOL( CHOOSECOLS(d, idx ), 1 ) ), )
)"),3.5)</f>
        <v>3.5</v>
      </c>
      <c r="F7" s="9">
        <f>IFERROR(__xludf.DUMMYFUNCTION("LET(
  h,'Respostas ao formulário 1'!$1:$1,
  d,'Respostas ao formulário 1'!$A$2:$ZZ998,
  pessoa,$A7,
  comp,F$1,
  padrao, pessoa &amp; ""( \([^)]*\))?.*\["" &amp; comp &amp; ""\]"",
  idx, FILTER(SEQUENCE(1,COLUMNS(h)), REGEXMATCH(h, padrao)),
  IFERROR( MEDIAN( T"&amp;"OCOL( CHOOSECOLS(d, idx ), 1 ) ), )
)"),3.0)</f>
        <v>3</v>
      </c>
      <c r="G7" s="9">
        <f>IFERROR(__xludf.DUMMYFUNCTION("LET(
  h,'Respostas ao formulário 1'!$1:$1,
  d,'Respostas ao formulário 1'!$A$2:$ZZ998,
  pessoa,$A7,
  comp,G$1,
  padrao, pessoa &amp; ""( \([^)]*\))?.*\["" &amp; comp &amp; ""\]"",
  idx, FILTER(SEQUENCE(1,COLUMNS(h)), REGEXMATCH(h, padrao)),
  IFERROR( MEDIAN( T"&amp;"OCOL( CHOOSECOLS(d, idx ), 1 ) ), )
)"),4.0)</f>
        <v>4</v>
      </c>
      <c r="H7" s="9">
        <f>IFERROR(__xludf.DUMMYFUNCTION("LET(
  h,'Respostas ao formulário 1'!$1:$1,
  d,'Respostas ao formulário 1'!$A$2:$ZZ998,
  pessoa,$A7,
  comp,H$1,
  padrao, pessoa &amp; ""( \([^)]*\))?.*\["" &amp; comp &amp; ""\]"",
  idx, FILTER(SEQUENCE(1,COLUMNS(h)), REGEXMATCH(h, padrao)),
  IFERROR( MEDIAN( T"&amp;"OCOL( CHOOSECOLS(d, idx ), 1 ) ), )
)"),2.5)</f>
        <v>2.5</v>
      </c>
      <c r="I7" s="9">
        <f>IFERROR(__xludf.DUMMYFUNCTION("LET(
  h,'Respostas ao formulário 1'!$1:$1,
  d,'Respostas ao formulário 1'!$A$2:$ZZ998,
  pessoa,$A7,
  comp,I$1,
  padrao, pessoa &amp; ""( \([^)]*\))?.*\["" &amp; comp &amp; ""\]"",
  idx, FILTER(SEQUENCE(1,COLUMNS(h)), REGEXMATCH(h, padrao)),
  IFERROR( MEDIAN( T"&amp;"OCOL( CHOOSECOLS(d, idx ), 1 ) ), )
)"),3.0)</f>
        <v>3</v>
      </c>
      <c r="J7" s="9">
        <f>IFERROR(__xludf.DUMMYFUNCTION("LET(
  h,'Respostas ao formulário 1'!$1:$1,
  d,'Respostas ao formulário 1'!$A$2:$ZZ998,
  pessoa,$A7,
  comp,J$1,
  padrao, pessoa &amp; ""( \([^)]*\))?.*\["" &amp; comp &amp; ""\]"",
  idx, FILTER(SEQUENCE(1,COLUMNS(h)), REGEXMATCH(h, padrao)),
  IFERROR( MEDIAN( T"&amp;"OCOL( CHOOSECOLS(d, idx ), 1 ) ), )
)"),3.5)</f>
        <v>3.5</v>
      </c>
      <c r="K7" s="9">
        <f>IFERROR(__xludf.DUMMYFUNCTION("LET(
  h,'Respostas ao formulário 1'!$1:$1,
  d,'Respostas ao formulário 1'!$A$2:$ZZ998,
  pessoa,$A7,
  comp,K$1,
  padrao, pessoa &amp; ""( \([^)]*\))?.*\["" &amp; comp &amp; ""\]"",
  idx, FILTER(SEQUENCE(1,COLUMNS(h)), REGEXMATCH(h, padrao)),
  IFERROR( MEDIAN( T"&amp;"OCOL( CHOOSECOLS(d, idx ), 1 ) ), )
)"),3.5)</f>
        <v>3.5</v>
      </c>
      <c r="L7" s="9">
        <f>IFERROR(__xludf.DUMMYFUNCTION("LET(
  h,'Respostas ao formulário 1'!$1:$1,
  d,'Respostas ao formulário 1'!$A$2:$ZZ998,
  pessoa,$A7,
  comp,L$1,
  padrao, pessoa &amp; ""( \([^)]*\))?.*\["" &amp; comp &amp; ""\]"",
  idx, FILTER(SEQUENCE(1,COLUMNS(h)), REGEXMATCH(h, padrao)),
  IFERROR( MEDIAN( T"&amp;"OCOL( CHOOSECOLS(d, idx ), 1 ) ), )
)"),3.0)</f>
        <v>3</v>
      </c>
      <c r="M7" s="10">
        <f t="shared" si="1"/>
        <v>3.181818182</v>
      </c>
    </row>
    <row r="8">
      <c r="A8" s="8" t="s">
        <v>625</v>
      </c>
      <c r="B8" s="9">
        <f>IFERROR(__xludf.DUMMYFUNCTION("LET(
  h,'Respostas ao formulário 1'!$1:$1,
  d,'Respostas ao formulário 1'!$A$2:$ZZ998,
  pessoa,$A8,
  comp,B$1,
  padrao, pessoa &amp; ""( \([^)]*\))?.*\["" &amp; comp &amp; ""\]"",
  idx, FILTER(SEQUENCE(1,COLUMNS(h)), REGEXMATCH(h, padrao)),
  IFERROR( MEDIAN( T"&amp;"OCOL( CHOOSECOLS(d, idx ), 1 ) ), )
)"),4.0)</f>
        <v>4</v>
      </c>
      <c r="C8" s="9">
        <f>IFERROR(__xludf.DUMMYFUNCTION("LET(
  h,'Respostas ao formulário 1'!$1:$1,
  d,'Respostas ao formulário 1'!$A$2:$ZZ998,
  pessoa,$A8,
  comp,C$1,
  padrao, pessoa &amp; ""( \([^)]*\))?.*\["" &amp; comp &amp; ""\]"",
  idx, FILTER(SEQUENCE(1,COLUMNS(h)), REGEXMATCH(h, padrao)),
  IFERROR( MEDIAN( T"&amp;"OCOL( CHOOSECOLS(d, idx ), 1 ) ), )
)"),1.0)</f>
        <v>1</v>
      </c>
      <c r="D8" s="9">
        <f>IFERROR(__xludf.DUMMYFUNCTION("LET(
  h,'Respostas ao formulário 1'!$1:$1,
  d,'Respostas ao formulário 1'!$A$2:$ZZ998,
  pessoa,$A8,
  comp,D$1,
  padrao, pessoa &amp; ""( \([^)]*\))?.*\["" &amp; comp &amp; ""\]"",
  idx, FILTER(SEQUENCE(1,COLUMNS(h)), REGEXMATCH(h, padrao)),
  IFERROR( MEDIAN( T"&amp;"OCOL( CHOOSECOLS(d, idx ), 1 ) ), )
)"),3.0)</f>
        <v>3</v>
      </c>
      <c r="E8" s="9">
        <f>IFERROR(__xludf.DUMMYFUNCTION("LET(
  h,'Respostas ao formulário 1'!$1:$1,
  d,'Respostas ao formulário 1'!$A$2:$ZZ998,
  pessoa,$A8,
  comp,E$1,
  padrao, pessoa &amp; ""( \([^)]*\))?.*\["" &amp; comp &amp; ""\]"",
  idx, FILTER(SEQUENCE(1,COLUMNS(h)), REGEXMATCH(h, padrao)),
  IFERROR( MEDIAN( T"&amp;"OCOL( CHOOSECOLS(d, idx ), 1 ) ), )
)"),2.0)</f>
        <v>2</v>
      </c>
      <c r="F8" s="9">
        <f>IFERROR(__xludf.DUMMYFUNCTION("LET(
  h,'Respostas ao formulário 1'!$1:$1,
  d,'Respostas ao formulário 1'!$A$2:$ZZ998,
  pessoa,$A8,
  comp,F$1,
  padrao, pessoa &amp; ""( \([^)]*\))?.*\["" &amp; comp &amp; ""\]"",
  idx, FILTER(SEQUENCE(1,COLUMNS(h)), REGEXMATCH(h, padrao)),
  IFERROR( MEDIAN( T"&amp;"OCOL( CHOOSECOLS(d, idx ), 1 ) ), )
)"),4.0)</f>
        <v>4</v>
      </c>
      <c r="G8" s="9">
        <f>IFERROR(__xludf.DUMMYFUNCTION("LET(
  h,'Respostas ao formulário 1'!$1:$1,
  d,'Respostas ao formulário 1'!$A$2:$ZZ998,
  pessoa,$A8,
  comp,G$1,
  padrao, pessoa &amp; ""( \([^)]*\))?.*\["" &amp; comp &amp; ""\]"",
  idx, FILTER(SEQUENCE(1,COLUMNS(h)), REGEXMATCH(h, padrao)),
  IFERROR( MEDIAN( T"&amp;"OCOL( CHOOSECOLS(d, idx ), 1 ) ), )
)"),2.0)</f>
        <v>2</v>
      </c>
      <c r="H8" s="9">
        <f>IFERROR(__xludf.DUMMYFUNCTION("LET(
  h,'Respostas ao formulário 1'!$1:$1,
  d,'Respostas ao formulário 1'!$A$2:$ZZ998,
  pessoa,$A8,
  comp,H$1,
  padrao, pessoa &amp; ""( \([^)]*\))?.*\["" &amp; comp &amp; ""\]"",
  idx, FILTER(SEQUENCE(1,COLUMNS(h)), REGEXMATCH(h, padrao)),
  IFERROR( MEDIAN( T"&amp;"OCOL( CHOOSECOLS(d, idx ), 1 ) ), )
)"),3.0)</f>
        <v>3</v>
      </c>
      <c r="I8" s="9">
        <f>IFERROR(__xludf.DUMMYFUNCTION("LET(
  h,'Respostas ao formulário 1'!$1:$1,
  d,'Respostas ao formulário 1'!$A$2:$ZZ998,
  pessoa,$A8,
  comp,I$1,
  padrao, pessoa &amp; ""( \([^)]*\))?.*\["" &amp; comp &amp; ""\]"",
  idx, FILTER(SEQUENCE(1,COLUMNS(h)), REGEXMATCH(h, padrao)),
  IFERROR( MEDIAN( T"&amp;"OCOL( CHOOSECOLS(d, idx ), 1 ) ), )
)"),4.0)</f>
        <v>4</v>
      </c>
      <c r="J8" s="9">
        <f>IFERROR(__xludf.DUMMYFUNCTION("LET(
  h,'Respostas ao formulário 1'!$1:$1,
  d,'Respostas ao formulário 1'!$A$2:$ZZ998,
  pessoa,$A8,
  comp,J$1,
  padrao, pessoa &amp; ""( \([^)]*\))?.*\["" &amp; comp &amp; ""\]"",
  idx, FILTER(SEQUENCE(1,COLUMNS(h)), REGEXMATCH(h, padrao)),
  IFERROR( MEDIAN( T"&amp;"OCOL( CHOOSECOLS(d, idx ), 1 ) ), )
)"),3.0)</f>
        <v>3</v>
      </c>
      <c r="K8" s="9">
        <f>IFERROR(__xludf.DUMMYFUNCTION("LET(
  h,'Respostas ao formulário 1'!$1:$1,
  d,'Respostas ao formulário 1'!$A$2:$ZZ998,
  pessoa,$A8,
  comp,K$1,
  padrao, pessoa &amp; ""( \([^)]*\))?.*\["" &amp; comp &amp; ""\]"",
  idx, FILTER(SEQUENCE(1,COLUMNS(h)), REGEXMATCH(h, padrao)),
  IFERROR( MEDIAN( T"&amp;"OCOL( CHOOSECOLS(d, idx ), 1 ) ), )
)"),3.0)</f>
        <v>3</v>
      </c>
      <c r="L8" s="9">
        <f>IFERROR(__xludf.DUMMYFUNCTION("LET(
  h,'Respostas ao formulário 1'!$1:$1,
  d,'Respostas ao formulário 1'!$A$2:$ZZ998,
  pessoa,$A8,
  comp,L$1,
  padrao, pessoa &amp; ""( \([^)]*\))?.*\["" &amp; comp &amp; ""\]"",
  idx, FILTER(SEQUENCE(1,COLUMNS(h)), REGEXMATCH(h, padrao)),
  IFERROR( MEDIAN( T"&amp;"OCOL( CHOOSECOLS(d, idx ), 1 ) ), )
)"),3.0)</f>
        <v>3</v>
      </c>
      <c r="M8" s="10">
        <f t="shared" si="1"/>
        <v>2.909090909</v>
      </c>
    </row>
    <row r="9">
      <c r="A9" s="8" t="s">
        <v>626</v>
      </c>
      <c r="B9" s="9">
        <f>IFERROR(__xludf.DUMMYFUNCTION("LET(
  h,'Respostas ao formulário 1'!$1:$1,
  d,'Respostas ao formulário 1'!$A$2:$ZZ998,
  pessoa,$A9,
  comp,B$1,
  padrao, pessoa &amp; ""( \([^)]*\))?.*\["" &amp; comp &amp; ""\]"",
  idx, FILTER(SEQUENCE(1,COLUMNS(h)), REGEXMATCH(h, padrao)),
  IFERROR( MEDIAN( T"&amp;"OCOL( CHOOSECOLS(d, idx ), 1 ) ), )
)"),2.0)</f>
        <v>2</v>
      </c>
      <c r="C9" s="9">
        <f>IFERROR(__xludf.DUMMYFUNCTION("LET(
  h,'Respostas ao formulário 1'!$1:$1,
  d,'Respostas ao formulário 1'!$A$2:$ZZ998,
  pessoa,$A9,
  comp,C$1,
  padrao, pessoa &amp; ""( \([^)]*\))?.*\["" &amp; comp &amp; ""\]"",
  idx, FILTER(SEQUENCE(1,COLUMNS(h)), REGEXMATCH(h, padrao)),
  IFERROR( MEDIAN( T"&amp;"OCOL( CHOOSECOLS(d, idx ), 1 ) ), )
)"),3.0)</f>
        <v>3</v>
      </c>
      <c r="D9" s="9">
        <f>IFERROR(__xludf.DUMMYFUNCTION("LET(
  h,'Respostas ao formulário 1'!$1:$1,
  d,'Respostas ao formulário 1'!$A$2:$ZZ998,
  pessoa,$A9,
  comp,D$1,
  padrao, pessoa &amp; ""( \([^)]*\))?.*\["" &amp; comp &amp; ""\]"",
  idx, FILTER(SEQUENCE(1,COLUMNS(h)), REGEXMATCH(h, padrao)),
  IFERROR( MEDIAN( T"&amp;"OCOL( CHOOSECOLS(d, idx ), 1 ) ), )
)"),1.0)</f>
        <v>1</v>
      </c>
      <c r="E9" s="9">
        <f>IFERROR(__xludf.DUMMYFUNCTION("LET(
  h,'Respostas ao formulário 1'!$1:$1,
  d,'Respostas ao formulário 1'!$A$2:$ZZ998,
  pessoa,$A9,
  comp,E$1,
  padrao, pessoa &amp; ""( \([^)]*\))?.*\["" &amp; comp &amp; ""\]"",
  idx, FILTER(SEQUENCE(1,COLUMNS(h)), REGEXMATCH(h, padrao)),
  IFERROR( MEDIAN( T"&amp;"OCOL( CHOOSECOLS(d, idx ), 1 ) ), )
)"),3.0)</f>
        <v>3</v>
      </c>
      <c r="F9" s="9">
        <f>IFERROR(__xludf.DUMMYFUNCTION("LET(
  h,'Respostas ao formulário 1'!$1:$1,
  d,'Respostas ao formulário 1'!$A$2:$ZZ998,
  pessoa,$A9,
  comp,F$1,
  padrao, pessoa &amp; ""( \([^)]*\))?.*\["" &amp; comp &amp; ""\]"",
  idx, FILTER(SEQUENCE(1,COLUMNS(h)), REGEXMATCH(h, padrao)),
  IFERROR( MEDIAN( T"&amp;"OCOL( CHOOSECOLS(d, idx ), 1 ) ), )
)"),4.0)</f>
        <v>4</v>
      </c>
      <c r="G9" s="9">
        <f>IFERROR(__xludf.DUMMYFUNCTION("LET(
  h,'Respostas ao formulário 1'!$1:$1,
  d,'Respostas ao formulário 1'!$A$2:$ZZ998,
  pessoa,$A9,
  comp,G$1,
  padrao, pessoa &amp; ""( \([^)]*\))?.*\["" &amp; comp &amp; ""\]"",
  idx, FILTER(SEQUENCE(1,COLUMNS(h)), REGEXMATCH(h, padrao)),
  IFERROR( MEDIAN( T"&amp;"OCOL( CHOOSECOLS(d, idx ), 1 ) ), )
)"),4.0)</f>
        <v>4</v>
      </c>
      <c r="H9" s="9">
        <f>IFERROR(__xludf.DUMMYFUNCTION("LET(
  h,'Respostas ao formulário 1'!$1:$1,
  d,'Respostas ao formulário 1'!$A$2:$ZZ998,
  pessoa,$A9,
  comp,H$1,
  padrao, pessoa &amp; ""( \([^)]*\))?.*\["" &amp; comp &amp; ""\]"",
  idx, FILTER(SEQUENCE(1,COLUMNS(h)), REGEXMATCH(h, padrao)),
  IFERROR( MEDIAN( T"&amp;"OCOL( CHOOSECOLS(d, idx ), 1 ) ), )
)"),3.0)</f>
        <v>3</v>
      </c>
      <c r="I9" s="9">
        <f>IFERROR(__xludf.DUMMYFUNCTION("LET(
  h,'Respostas ao formulário 1'!$1:$1,
  d,'Respostas ao formulário 1'!$A$2:$ZZ998,
  pessoa,$A9,
  comp,I$1,
  padrao, pessoa &amp; ""( \([^)]*\))?.*\["" &amp; comp &amp; ""\]"",
  idx, FILTER(SEQUENCE(1,COLUMNS(h)), REGEXMATCH(h, padrao)),
  IFERROR( MEDIAN( T"&amp;"OCOL( CHOOSECOLS(d, idx ), 1 ) ), )
)"),4.0)</f>
        <v>4</v>
      </c>
      <c r="J9" s="9">
        <f>IFERROR(__xludf.DUMMYFUNCTION("LET(
  h,'Respostas ao formulário 1'!$1:$1,
  d,'Respostas ao formulário 1'!$A$2:$ZZ998,
  pessoa,$A9,
  comp,J$1,
  padrao, pessoa &amp; ""( \([^)]*\))?.*\["" &amp; comp &amp; ""\]"",
  idx, FILTER(SEQUENCE(1,COLUMNS(h)), REGEXMATCH(h, padrao)),
  IFERROR( MEDIAN( T"&amp;"OCOL( CHOOSECOLS(d, idx ), 1 ) ), )
)"),3.0)</f>
        <v>3</v>
      </c>
      <c r="K9" s="9">
        <f>IFERROR(__xludf.DUMMYFUNCTION("LET(
  h,'Respostas ao formulário 1'!$1:$1,
  d,'Respostas ao formulário 1'!$A$2:$ZZ998,
  pessoa,$A9,
  comp,K$1,
  padrao, pessoa &amp; ""( \([^)]*\))?.*\["" &amp; comp &amp; ""\]"",
  idx, FILTER(SEQUENCE(1,COLUMNS(h)), REGEXMATCH(h, padrao)),
  IFERROR( MEDIAN( T"&amp;"OCOL( CHOOSECOLS(d, idx ), 1 ) ), )
)"),4.0)</f>
        <v>4</v>
      </c>
      <c r="L9" s="9">
        <f>IFERROR(__xludf.DUMMYFUNCTION("LET(
  h,'Respostas ao formulário 1'!$1:$1,
  d,'Respostas ao formulário 1'!$A$2:$ZZ998,
  pessoa,$A9,
  comp,L$1,
  padrao, pessoa &amp; ""( \([^)]*\))?.*\["" &amp; comp &amp; ""\]"",
  idx, FILTER(SEQUENCE(1,COLUMNS(h)), REGEXMATCH(h, padrao)),
  IFERROR( MEDIAN( T"&amp;"OCOL( CHOOSECOLS(d, idx ), 1 ) ), )
)"),3.0)</f>
        <v>3</v>
      </c>
      <c r="M9" s="10">
        <f t="shared" si="1"/>
        <v>3.090909091</v>
      </c>
    </row>
    <row r="10">
      <c r="A10" s="8" t="s">
        <v>627</v>
      </c>
      <c r="B10" s="9">
        <f>IFERROR(__xludf.DUMMYFUNCTION("LET(
  h,'Respostas ao formulário 1'!$1:$1,
  d,'Respostas ao formulário 1'!$A$2:$ZZ998,
  pessoa,$A10,
  comp,B$1,
  padrao, pessoa &amp; ""( \([^)]*\))?.*\["" &amp; comp &amp; ""\]"",
  idx, FILTER(SEQUENCE(1,COLUMNS(h)), REGEXMATCH(h, padrao)),
  IFERROR( MEDIAN( "&amp;"TOCOL( CHOOSECOLS(d, idx ), 1 ) ), )
)"),3.0)</f>
        <v>3</v>
      </c>
      <c r="C10" s="9">
        <f>IFERROR(__xludf.DUMMYFUNCTION("LET(
  h,'Respostas ao formulário 1'!$1:$1,
  d,'Respostas ao formulário 1'!$A$2:$ZZ998,
  pessoa,$A10,
  comp,C$1,
  padrao, pessoa &amp; ""( \([^)]*\))?.*\["" &amp; comp &amp; ""\]"",
  idx, FILTER(SEQUENCE(1,COLUMNS(h)), REGEXMATCH(h, padrao)),
  IFERROR( MEDIAN( "&amp;"TOCOL( CHOOSECOLS(d, idx ), 1 ) ), )
)"),3.5)</f>
        <v>3.5</v>
      </c>
      <c r="D10" s="9">
        <f>IFERROR(__xludf.DUMMYFUNCTION("LET(
  h,'Respostas ao formulário 1'!$1:$1,
  d,'Respostas ao formulário 1'!$A$2:$ZZ998,
  pessoa,$A10,
  comp,D$1,
  padrao, pessoa &amp; ""( \([^)]*\))?.*\["" &amp; comp &amp; ""\]"",
  idx, FILTER(SEQUENCE(1,COLUMNS(h)), REGEXMATCH(h, padrao)),
  IFERROR( MEDIAN( "&amp;"TOCOL( CHOOSECOLS(d, idx ), 1 ) ), )
)"),3.0)</f>
        <v>3</v>
      </c>
      <c r="E10" s="9">
        <f>IFERROR(__xludf.DUMMYFUNCTION("LET(
  h,'Respostas ao formulário 1'!$1:$1,
  d,'Respostas ao formulário 1'!$A$2:$ZZ998,
  pessoa,$A10,
  comp,E$1,
  padrao, pessoa &amp; ""( \([^)]*\))?.*\["" &amp; comp &amp; ""\]"",
  idx, FILTER(SEQUENCE(1,COLUMNS(h)), REGEXMATCH(h, padrao)),
  IFERROR( MEDIAN( "&amp;"TOCOL( CHOOSECOLS(d, idx ), 1 ) ), )
)"),3.5)</f>
        <v>3.5</v>
      </c>
      <c r="F10" s="9">
        <f>IFERROR(__xludf.DUMMYFUNCTION("LET(
  h,'Respostas ao formulário 1'!$1:$1,
  d,'Respostas ao formulário 1'!$A$2:$ZZ998,
  pessoa,$A10,
  comp,F$1,
  padrao, pessoa &amp; ""( \([^)]*\))?.*\["" &amp; comp &amp; ""\]"",
  idx, FILTER(SEQUENCE(1,COLUMNS(h)), REGEXMATCH(h, padrao)),
  IFERROR( MEDIAN( "&amp;"TOCOL( CHOOSECOLS(d, idx ), 1 ) ), )
)"),2.5)</f>
        <v>2.5</v>
      </c>
      <c r="G10" s="9">
        <f>IFERROR(__xludf.DUMMYFUNCTION("LET(
  h,'Respostas ao formulário 1'!$1:$1,
  d,'Respostas ao formulário 1'!$A$2:$ZZ998,
  pessoa,$A10,
  comp,G$1,
  padrao, pessoa &amp; ""( \([^)]*\))?.*\["" &amp; comp &amp; ""\]"",
  idx, FILTER(SEQUENCE(1,COLUMNS(h)), REGEXMATCH(h, padrao)),
  IFERROR( MEDIAN( "&amp;"TOCOL( CHOOSECOLS(d, idx ), 1 ) ), )
)"),3.5)</f>
        <v>3.5</v>
      </c>
      <c r="H10" s="9">
        <f>IFERROR(__xludf.DUMMYFUNCTION("LET(
  h,'Respostas ao formulário 1'!$1:$1,
  d,'Respostas ao formulário 1'!$A$2:$ZZ998,
  pessoa,$A10,
  comp,H$1,
  padrao, pessoa &amp; ""( \([^)]*\))?.*\["" &amp; comp &amp; ""\]"",
  idx, FILTER(SEQUENCE(1,COLUMNS(h)), REGEXMATCH(h, padrao)),
  IFERROR( MEDIAN( "&amp;"TOCOL( CHOOSECOLS(d, idx ), 1 ) ), )
)"),3.0)</f>
        <v>3</v>
      </c>
      <c r="I10" s="9">
        <f>IFERROR(__xludf.DUMMYFUNCTION("LET(
  h,'Respostas ao formulário 1'!$1:$1,
  d,'Respostas ao formulário 1'!$A$2:$ZZ998,
  pessoa,$A10,
  comp,I$1,
  padrao, pessoa &amp; ""( \([^)]*\))?.*\["" &amp; comp &amp; ""\]"",
  idx, FILTER(SEQUENCE(1,COLUMNS(h)), REGEXMATCH(h, padrao)),
  IFERROR( MEDIAN( "&amp;"TOCOL( CHOOSECOLS(d, idx ), 1 ) ), )
)"),3.0)</f>
        <v>3</v>
      </c>
      <c r="J10" s="9">
        <f>IFERROR(__xludf.DUMMYFUNCTION("LET(
  h,'Respostas ao formulário 1'!$1:$1,
  d,'Respostas ao formulário 1'!$A$2:$ZZ998,
  pessoa,$A10,
  comp,J$1,
  padrao, pessoa &amp; ""( \([^)]*\))?.*\["" &amp; comp &amp; ""\]"",
  idx, FILTER(SEQUENCE(1,COLUMNS(h)), REGEXMATCH(h, padrao)),
  IFERROR( MEDIAN( "&amp;"TOCOL( CHOOSECOLS(d, idx ), 1 ) ), )
)"),3.0)</f>
        <v>3</v>
      </c>
      <c r="K10" s="9">
        <f>IFERROR(__xludf.DUMMYFUNCTION("LET(
  h,'Respostas ao formulário 1'!$1:$1,
  d,'Respostas ao formulário 1'!$A$2:$ZZ998,
  pessoa,$A10,
  comp,K$1,
  padrao, pessoa &amp; ""( \([^)]*\))?.*\["" &amp; comp &amp; ""\]"",
  idx, FILTER(SEQUENCE(1,COLUMNS(h)), REGEXMATCH(h, padrao)),
  IFERROR( MEDIAN( "&amp;"TOCOL( CHOOSECOLS(d, idx ), 1 ) ), )
)"),3.0)</f>
        <v>3</v>
      </c>
      <c r="L10" s="9">
        <f>IFERROR(__xludf.DUMMYFUNCTION("LET(
  h,'Respostas ao formulário 1'!$1:$1,
  d,'Respostas ao formulário 1'!$A$2:$ZZ998,
  pessoa,$A10,
  comp,L$1,
  padrao, pessoa &amp; ""( \([^)]*\))?.*\["" &amp; comp &amp; ""\]"",
  idx, FILTER(SEQUENCE(1,COLUMNS(h)), REGEXMATCH(h, padrao)),
  IFERROR( MEDIAN( "&amp;"TOCOL( CHOOSECOLS(d, idx ), 1 ) ), )
)"),3.0)</f>
        <v>3</v>
      </c>
      <c r="M10" s="10">
        <f t="shared" si="1"/>
        <v>3.090909091</v>
      </c>
    </row>
    <row r="11">
      <c r="A11" s="8" t="s">
        <v>628</v>
      </c>
      <c r="B11" s="9">
        <f>IFERROR(__xludf.DUMMYFUNCTION("LET(
  h,'Respostas ao formulário 1'!$1:$1,
  d,'Respostas ao formulário 1'!$A$2:$ZZ998,
  pessoa,$A11,
  comp,B$1,
  padrao, pessoa &amp; ""( \([^)]*\))?.*\["" &amp; comp &amp; ""\]"",
  idx, FILTER(SEQUENCE(1,COLUMNS(h)), REGEXMATCH(h, padrao)),
  IFERROR( MEDIAN( "&amp;"TOCOL( CHOOSECOLS(d, idx ), 1 ) ), )
)"),1.0)</f>
        <v>1</v>
      </c>
      <c r="C11" s="9">
        <f>IFERROR(__xludf.DUMMYFUNCTION("LET(
  h,'Respostas ao formulário 1'!$1:$1,
  d,'Respostas ao formulário 1'!$A$2:$ZZ998,
  pessoa,$A11,
  comp,C$1,
  padrao, pessoa &amp; ""( \([^)]*\))?.*\["" &amp; comp &amp; ""\]"",
  idx, FILTER(SEQUENCE(1,COLUMNS(h)), REGEXMATCH(h, padrao)),
  IFERROR( MEDIAN( "&amp;"TOCOL( CHOOSECOLS(d, idx ), 1 ) ), )
)"),1.0)</f>
        <v>1</v>
      </c>
      <c r="D11" s="9">
        <f>IFERROR(__xludf.DUMMYFUNCTION("LET(
  h,'Respostas ao formulário 1'!$1:$1,
  d,'Respostas ao formulário 1'!$A$2:$ZZ998,
  pessoa,$A11,
  comp,D$1,
  padrao, pessoa &amp; ""( \([^)]*\))?.*\["" &amp; comp &amp; ""\]"",
  idx, FILTER(SEQUENCE(1,COLUMNS(h)), REGEXMATCH(h, padrao)),
  IFERROR( MEDIAN( "&amp;"TOCOL( CHOOSECOLS(d, idx ), 1 ) ), )
)"),1.0)</f>
        <v>1</v>
      </c>
      <c r="E11" s="9">
        <f>IFERROR(__xludf.DUMMYFUNCTION("LET(
  h,'Respostas ao formulário 1'!$1:$1,
  d,'Respostas ao formulário 1'!$A$2:$ZZ998,
  pessoa,$A11,
  comp,E$1,
  padrao, pessoa &amp; ""( \([^)]*\))?.*\["" &amp; comp &amp; ""\]"",
  idx, FILTER(SEQUENCE(1,COLUMNS(h)), REGEXMATCH(h, padrao)),
  IFERROR( MEDIAN( "&amp;"TOCOL( CHOOSECOLS(d, idx ), 1 ) ), )
)"),1.0)</f>
        <v>1</v>
      </c>
      <c r="F11" s="9">
        <f>IFERROR(__xludf.DUMMYFUNCTION("LET(
  h,'Respostas ao formulário 1'!$1:$1,
  d,'Respostas ao formulário 1'!$A$2:$ZZ998,
  pessoa,$A11,
  comp,F$1,
  padrao, pessoa &amp; ""( \([^)]*\))?.*\["" &amp; comp &amp; ""\]"",
  idx, FILTER(SEQUENCE(1,COLUMNS(h)), REGEXMATCH(h, padrao)),
  IFERROR( MEDIAN( "&amp;"TOCOL( CHOOSECOLS(d, idx ), 1 ) ), )
)"),1.0)</f>
        <v>1</v>
      </c>
      <c r="G11" s="9">
        <f>IFERROR(__xludf.DUMMYFUNCTION("LET(
  h,'Respostas ao formulário 1'!$1:$1,
  d,'Respostas ao formulário 1'!$A$2:$ZZ998,
  pessoa,$A11,
  comp,G$1,
  padrao, pessoa &amp; ""( \([^)]*\))?.*\["" &amp; comp &amp; ""\]"",
  idx, FILTER(SEQUENCE(1,COLUMNS(h)), REGEXMATCH(h, padrao)),
  IFERROR( MEDIAN( "&amp;"TOCOL( CHOOSECOLS(d, idx ), 1 ) ), )
)"),1.0)</f>
        <v>1</v>
      </c>
      <c r="H11" s="9">
        <f>IFERROR(__xludf.DUMMYFUNCTION("LET(
  h,'Respostas ao formulário 1'!$1:$1,
  d,'Respostas ao formulário 1'!$A$2:$ZZ998,
  pessoa,$A11,
  comp,H$1,
  padrao, pessoa &amp; ""( \([^)]*\))?.*\["" &amp; comp &amp; ""\]"",
  idx, FILTER(SEQUENCE(1,COLUMNS(h)), REGEXMATCH(h, padrao)),
  IFERROR( MEDIAN( "&amp;"TOCOL( CHOOSECOLS(d, idx ), 1 ) ), )
)"),1.0)</f>
        <v>1</v>
      </c>
      <c r="I11" s="9">
        <f>IFERROR(__xludf.DUMMYFUNCTION("LET(
  h,'Respostas ao formulário 1'!$1:$1,
  d,'Respostas ao formulário 1'!$A$2:$ZZ998,
  pessoa,$A11,
  comp,I$1,
  padrao, pessoa &amp; ""( \([^)]*\))?.*\["" &amp; comp &amp; ""\]"",
  idx, FILTER(SEQUENCE(1,COLUMNS(h)), REGEXMATCH(h, padrao)),
  IFERROR( MEDIAN( "&amp;"TOCOL( CHOOSECOLS(d, idx ), 1 ) ), )
)"),1.0)</f>
        <v>1</v>
      </c>
      <c r="J11" s="9">
        <f>IFERROR(__xludf.DUMMYFUNCTION("LET(
  h,'Respostas ao formulário 1'!$1:$1,
  d,'Respostas ao formulário 1'!$A$2:$ZZ998,
  pessoa,$A11,
  comp,J$1,
  padrao, pessoa &amp; ""( \([^)]*\))?.*\["" &amp; comp &amp; ""\]"",
  idx, FILTER(SEQUENCE(1,COLUMNS(h)), REGEXMATCH(h, padrao)),
  IFERROR( MEDIAN( "&amp;"TOCOL( CHOOSECOLS(d, idx ), 1 ) ), )
)"),1.0)</f>
        <v>1</v>
      </c>
      <c r="K11" s="9">
        <f>IFERROR(__xludf.DUMMYFUNCTION("LET(
  h,'Respostas ao formulário 1'!$1:$1,
  d,'Respostas ao formulário 1'!$A$2:$ZZ998,
  pessoa,$A11,
  comp,K$1,
  padrao, pessoa &amp; ""( \([^)]*\))?.*\["" &amp; comp &amp; ""\]"",
  idx, FILTER(SEQUENCE(1,COLUMNS(h)), REGEXMATCH(h, padrao)),
  IFERROR( MEDIAN( "&amp;"TOCOL( CHOOSECOLS(d, idx ), 1 ) ), )
)"),1.0)</f>
        <v>1</v>
      </c>
      <c r="L11" s="9">
        <f>IFERROR(__xludf.DUMMYFUNCTION("LET(
  h,'Respostas ao formulário 1'!$1:$1,
  d,'Respostas ao formulário 1'!$A$2:$ZZ998,
  pessoa,$A11,
  comp,L$1,
  padrao, pessoa &amp; ""( \([^)]*\))?.*\["" &amp; comp &amp; ""\]"",
  idx, FILTER(SEQUENCE(1,COLUMNS(h)), REGEXMATCH(h, padrao)),
  IFERROR( MEDIAN( "&amp;"TOCOL( CHOOSECOLS(d, idx ), 1 ) ), )
)"),1.0)</f>
        <v>1</v>
      </c>
      <c r="M11" s="10">
        <f t="shared" si="1"/>
        <v>1</v>
      </c>
    </row>
    <row r="12">
      <c r="A12" s="8" t="s">
        <v>629</v>
      </c>
      <c r="B12" s="9">
        <f>IFERROR(__xludf.DUMMYFUNCTION("LET(
  h,'Respostas ao formulário 1'!$1:$1,
  d,'Respostas ao formulário 1'!$A$2:$ZZ998,
  pessoa,$A12,
  comp,B$1,
  padrao, pessoa &amp; ""( \([^)]*\))?.*\["" &amp; comp &amp; ""\]"",
  idx, FILTER(SEQUENCE(1,COLUMNS(h)), REGEXMATCH(h, padrao)),
  IFERROR( MEDIAN( "&amp;"TOCOL( CHOOSECOLS(d, idx ), 1 ) ), )
)"),2.0)</f>
        <v>2</v>
      </c>
      <c r="C12" s="9">
        <f>IFERROR(__xludf.DUMMYFUNCTION("LET(
  h,'Respostas ao formulário 1'!$1:$1,
  d,'Respostas ao formulário 1'!$A$2:$ZZ998,
  pessoa,$A12,
  comp,C$1,
  padrao, pessoa &amp; ""( \([^)]*\))?.*\["" &amp; comp &amp; ""\]"",
  idx, FILTER(SEQUENCE(1,COLUMNS(h)), REGEXMATCH(h, padrao)),
  IFERROR( MEDIAN( "&amp;"TOCOL( CHOOSECOLS(d, idx ), 1 ) ), )
)"),4.0)</f>
        <v>4</v>
      </c>
      <c r="D12" s="9">
        <f>IFERROR(__xludf.DUMMYFUNCTION("LET(
  h,'Respostas ao formulário 1'!$1:$1,
  d,'Respostas ao formulário 1'!$A$2:$ZZ998,
  pessoa,$A12,
  comp,D$1,
  padrao, pessoa &amp; ""( \([^)]*\))?.*\["" &amp; comp &amp; ""\]"",
  idx, FILTER(SEQUENCE(1,COLUMNS(h)), REGEXMATCH(h, padrao)),
  IFERROR( MEDIAN( "&amp;"TOCOL( CHOOSECOLS(d, idx ), 1 ) ), )
)"),1.0)</f>
        <v>1</v>
      </c>
      <c r="E12" s="9">
        <f>IFERROR(__xludf.DUMMYFUNCTION("LET(
  h,'Respostas ao formulário 1'!$1:$1,
  d,'Respostas ao formulário 1'!$A$2:$ZZ998,
  pessoa,$A12,
  comp,E$1,
  padrao, pessoa &amp; ""( \([^)]*\))?.*\["" &amp; comp &amp; ""\]"",
  idx, FILTER(SEQUENCE(1,COLUMNS(h)), REGEXMATCH(h, padrao)),
  IFERROR( MEDIAN( "&amp;"TOCOL( CHOOSECOLS(d, idx ), 1 ) ), )
)"),3.0)</f>
        <v>3</v>
      </c>
      <c r="F12" s="9">
        <f>IFERROR(__xludf.DUMMYFUNCTION("LET(
  h,'Respostas ao formulário 1'!$1:$1,
  d,'Respostas ao formulário 1'!$A$2:$ZZ998,
  pessoa,$A12,
  comp,F$1,
  padrao, pessoa &amp; ""( \([^)]*\))?.*\["" &amp; comp &amp; ""\]"",
  idx, FILTER(SEQUENCE(1,COLUMNS(h)), REGEXMATCH(h, padrao)),
  IFERROR( MEDIAN( "&amp;"TOCOL( CHOOSECOLS(d, idx ), 1 ) ), )
)"),3.0)</f>
        <v>3</v>
      </c>
      <c r="G12" s="9">
        <f>IFERROR(__xludf.DUMMYFUNCTION("LET(
  h,'Respostas ao formulário 1'!$1:$1,
  d,'Respostas ao formulário 1'!$A$2:$ZZ998,
  pessoa,$A12,
  comp,G$1,
  padrao, pessoa &amp; ""( \([^)]*\))?.*\["" &amp; comp &amp; ""\]"",
  idx, FILTER(SEQUENCE(1,COLUMNS(h)), REGEXMATCH(h, padrao)),
  IFERROR( MEDIAN( "&amp;"TOCOL( CHOOSECOLS(d, idx ), 1 ) ), )
)"),3.0)</f>
        <v>3</v>
      </c>
      <c r="H12" s="9">
        <f>IFERROR(__xludf.DUMMYFUNCTION("LET(
  h,'Respostas ao formulário 1'!$1:$1,
  d,'Respostas ao formulário 1'!$A$2:$ZZ998,
  pessoa,$A12,
  comp,H$1,
  padrao, pessoa &amp; ""( \([^)]*\))?.*\["" &amp; comp &amp; ""\]"",
  idx, FILTER(SEQUENCE(1,COLUMNS(h)), REGEXMATCH(h, padrao)),
  IFERROR( MEDIAN( "&amp;"TOCOL( CHOOSECOLS(d, idx ), 1 ) ), )
)"),3.0)</f>
        <v>3</v>
      </c>
      <c r="I12" s="9">
        <f>IFERROR(__xludf.DUMMYFUNCTION("LET(
  h,'Respostas ao formulário 1'!$1:$1,
  d,'Respostas ao formulário 1'!$A$2:$ZZ998,
  pessoa,$A12,
  comp,I$1,
  padrao, pessoa &amp; ""( \([^)]*\))?.*\["" &amp; comp &amp; ""\]"",
  idx, FILTER(SEQUENCE(1,COLUMNS(h)), REGEXMATCH(h, padrao)),
  IFERROR( MEDIAN( "&amp;"TOCOL( CHOOSECOLS(d, idx ), 1 ) ), )
)"),1.0)</f>
        <v>1</v>
      </c>
      <c r="J12" s="9">
        <f>IFERROR(__xludf.DUMMYFUNCTION("LET(
  h,'Respostas ao formulário 1'!$1:$1,
  d,'Respostas ao formulário 1'!$A$2:$ZZ998,
  pessoa,$A12,
  comp,J$1,
  padrao, pessoa &amp; ""( \([^)]*\))?.*\["" &amp; comp &amp; ""\]"",
  idx, FILTER(SEQUENCE(1,COLUMNS(h)), REGEXMATCH(h, padrao)),
  IFERROR( MEDIAN( "&amp;"TOCOL( CHOOSECOLS(d, idx ), 1 ) ), )
)"),4.0)</f>
        <v>4</v>
      </c>
      <c r="K12" s="9">
        <f>IFERROR(__xludf.DUMMYFUNCTION("LET(
  h,'Respostas ao formulário 1'!$1:$1,
  d,'Respostas ao formulário 1'!$A$2:$ZZ998,
  pessoa,$A12,
  comp,K$1,
  padrao, pessoa &amp; ""( \([^)]*\))?.*\["" &amp; comp &amp; ""\]"",
  idx, FILTER(SEQUENCE(1,COLUMNS(h)), REGEXMATCH(h, padrao)),
  IFERROR( MEDIAN( "&amp;"TOCOL( CHOOSECOLS(d, idx ), 1 ) ), )
)"),3.0)</f>
        <v>3</v>
      </c>
      <c r="L12" s="9">
        <f>IFERROR(__xludf.DUMMYFUNCTION("LET(
  h,'Respostas ao formulário 1'!$1:$1,
  d,'Respostas ao formulário 1'!$A$2:$ZZ998,
  pessoa,$A12,
  comp,L$1,
  padrao, pessoa &amp; ""( \([^)]*\))?.*\["" &amp; comp &amp; ""\]"",
  idx, FILTER(SEQUENCE(1,COLUMNS(h)), REGEXMATCH(h, padrao)),
  IFERROR( MEDIAN( "&amp;"TOCOL( CHOOSECOLS(d, idx ), 1 ) ), )
)"),3.0)</f>
        <v>3</v>
      </c>
      <c r="M12" s="10">
        <f t="shared" si="1"/>
        <v>2.727272727</v>
      </c>
    </row>
    <row r="13">
      <c r="A13" s="8" t="s">
        <v>630</v>
      </c>
      <c r="B13" s="9">
        <f>IFERROR(__xludf.DUMMYFUNCTION("LET(
  h,'Respostas ao formulário 1'!$1:$1,
  d,'Respostas ao formulário 1'!$A$2:$ZZ998,
  pessoa,$A13,
  comp,B$1,
  padrao, pessoa &amp; ""( \([^)]*\))?.*\["" &amp; comp &amp; ""\]"",
  idx, FILTER(SEQUENCE(1,COLUMNS(h)), REGEXMATCH(h, padrao)),
  IFERROR( MEDIAN( "&amp;"TOCOL( CHOOSECOLS(d, idx ), 1 ) ), )
)"),2.0)</f>
        <v>2</v>
      </c>
      <c r="C13" s="9">
        <f>IFERROR(__xludf.DUMMYFUNCTION("LET(
  h,'Respostas ao formulário 1'!$1:$1,
  d,'Respostas ao formulário 1'!$A$2:$ZZ998,
  pessoa,$A13,
  comp,C$1,
  padrao, pessoa &amp; ""( \([^)]*\))?.*\["" &amp; comp &amp; ""\]"",
  idx, FILTER(SEQUENCE(1,COLUMNS(h)), REGEXMATCH(h, padrao)),
  IFERROR( MEDIAN( "&amp;"TOCOL( CHOOSECOLS(d, idx ), 1 ) ), )
)"),1.0)</f>
        <v>1</v>
      </c>
      <c r="D13" s="9">
        <f>IFERROR(__xludf.DUMMYFUNCTION("LET(
  h,'Respostas ao formulário 1'!$1:$1,
  d,'Respostas ao formulário 1'!$A$2:$ZZ998,
  pessoa,$A13,
  comp,D$1,
  padrao, pessoa &amp; ""( \([^)]*\))?.*\["" &amp; comp &amp; ""\]"",
  idx, FILTER(SEQUENCE(1,COLUMNS(h)), REGEXMATCH(h, padrao)),
  IFERROR( MEDIAN( "&amp;"TOCOL( CHOOSECOLS(d, idx ), 1 ) ), )
)"),3.5)</f>
        <v>3.5</v>
      </c>
      <c r="E13" s="9">
        <f>IFERROR(__xludf.DUMMYFUNCTION("LET(
  h,'Respostas ao formulário 1'!$1:$1,
  d,'Respostas ao formulário 1'!$A$2:$ZZ998,
  pessoa,$A13,
  comp,E$1,
  padrao, pessoa &amp; ""( \([^)]*\))?.*\["" &amp; comp &amp; ""\]"",
  idx, FILTER(SEQUENCE(1,COLUMNS(h)), REGEXMATCH(h, padrao)),
  IFERROR( MEDIAN( "&amp;"TOCOL( CHOOSECOLS(d, idx ), 1 ) ), )
)"),2.5)</f>
        <v>2.5</v>
      </c>
      <c r="F13" s="9">
        <f>IFERROR(__xludf.DUMMYFUNCTION("LET(
  h,'Respostas ao formulário 1'!$1:$1,
  d,'Respostas ao formulário 1'!$A$2:$ZZ998,
  pessoa,$A13,
  comp,F$1,
  padrao, pessoa &amp; ""( \([^)]*\))?.*\["" &amp; comp &amp; ""\]"",
  idx, FILTER(SEQUENCE(1,COLUMNS(h)), REGEXMATCH(h, padrao)),
  IFERROR( MEDIAN( "&amp;"TOCOL( CHOOSECOLS(d, idx ), 1 ) ), )
)"),4.0)</f>
        <v>4</v>
      </c>
      <c r="G13" s="9">
        <f>IFERROR(__xludf.DUMMYFUNCTION("LET(
  h,'Respostas ao formulário 1'!$1:$1,
  d,'Respostas ao formulário 1'!$A$2:$ZZ998,
  pessoa,$A13,
  comp,G$1,
  padrao, pessoa &amp; ""( \([^)]*\))?.*\["" &amp; comp &amp; ""\]"",
  idx, FILTER(SEQUENCE(1,COLUMNS(h)), REGEXMATCH(h, padrao)),
  IFERROR( MEDIAN( "&amp;"TOCOL( CHOOSECOLS(d, idx ), 1 ) ), )
)"),3.0)</f>
        <v>3</v>
      </c>
      <c r="H13" s="9">
        <f>IFERROR(__xludf.DUMMYFUNCTION("LET(
  h,'Respostas ao formulário 1'!$1:$1,
  d,'Respostas ao formulário 1'!$A$2:$ZZ998,
  pessoa,$A13,
  comp,H$1,
  padrao, pessoa &amp; ""( \([^)]*\))?.*\["" &amp; comp &amp; ""\]"",
  idx, FILTER(SEQUENCE(1,COLUMNS(h)), REGEXMATCH(h, padrao)),
  IFERROR( MEDIAN( "&amp;"TOCOL( CHOOSECOLS(d, idx ), 1 ) ), )
)"),3.5)</f>
        <v>3.5</v>
      </c>
      <c r="I13" s="9">
        <f>IFERROR(__xludf.DUMMYFUNCTION("LET(
  h,'Respostas ao formulário 1'!$1:$1,
  d,'Respostas ao formulário 1'!$A$2:$ZZ998,
  pessoa,$A13,
  comp,I$1,
  padrao, pessoa &amp; ""( \([^)]*\))?.*\["" &amp; comp &amp; ""\]"",
  idx, FILTER(SEQUENCE(1,COLUMNS(h)), REGEXMATCH(h, padrao)),
  IFERROR( MEDIAN( "&amp;"TOCOL( CHOOSECOLS(d, idx ), 1 ) ), )
)"),3.0)</f>
        <v>3</v>
      </c>
      <c r="J13" s="9">
        <f>IFERROR(__xludf.DUMMYFUNCTION("LET(
  h,'Respostas ao formulário 1'!$1:$1,
  d,'Respostas ao formulário 1'!$A$2:$ZZ998,
  pessoa,$A13,
  comp,J$1,
  padrao, pessoa &amp; ""( \([^)]*\))?.*\["" &amp; comp &amp; ""\]"",
  idx, FILTER(SEQUENCE(1,COLUMNS(h)), REGEXMATCH(h, padrao)),
  IFERROR( MEDIAN( "&amp;"TOCOL( CHOOSECOLS(d, idx ), 1 ) ), )
)"),3.0)</f>
        <v>3</v>
      </c>
      <c r="K13" s="9">
        <f>IFERROR(__xludf.DUMMYFUNCTION("LET(
  h,'Respostas ao formulário 1'!$1:$1,
  d,'Respostas ao formulário 1'!$A$2:$ZZ998,
  pessoa,$A13,
  comp,K$1,
  padrao, pessoa &amp; ""( \([^)]*\))?.*\["" &amp; comp &amp; ""\]"",
  idx, FILTER(SEQUENCE(1,COLUMNS(h)), REGEXMATCH(h, padrao)),
  IFERROR( MEDIAN( "&amp;"TOCOL( CHOOSECOLS(d, idx ), 1 ) ), )
)"),4.0)</f>
        <v>4</v>
      </c>
      <c r="L13" s="9">
        <f>IFERROR(__xludf.DUMMYFUNCTION("LET(
  h,'Respostas ao formulário 1'!$1:$1,
  d,'Respostas ao formulário 1'!$A$2:$ZZ998,
  pessoa,$A13,
  comp,L$1,
  padrao, pessoa &amp; ""( \([^)]*\))?.*\["" &amp; comp &amp; ""\]"",
  idx, FILTER(SEQUENCE(1,COLUMNS(h)), REGEXMATCH(h, padrao)),
  IFERROR( MEDIAN( "&amp;"TOCOL( CHOOSECOLS(d, idx ), 1 ) ), )
)"),3.0)</f>
        <v>3</v>
      </c>
      <c r="M13" s="10">
        <f t="shared" si="1"/>
        <v>2.954545455</v>
      </c>
    </row>
    <row r="14">
      <c r="A14" s="8" t="s">
        <v>631</v>
      </c>
      <c r="B14" s="9" t="str">
        <f>IFERROR(__xludf.DUMMYFUNCTION("LET(
  h,'Respostas ao formulário 1'!$1:$1,
  d,'Respostas ao formulário 1'!$A$2:$ZZ998,
  pessoa,$A14,
  comp,B$1,
  padrao, pessoa &amp; ""( \([^)]*\))?.*\["" &amp; comp &amp; ""\]"",
  idx, FILTER(SEQUENCE(1,COLUMNS(h)), REGEXMATCH(h, padrao)),
  IFERROR( MEDIAN( "&amp;"TOCOL( CHOOSECOLS(d, idx ), 1 ) ), )
)"),"")</f>
        <v/>
      </c>
      <c r="C14" s="9" t="str">
        <f>IFERROR(__xludf.DUMMYFUNCTION("LET(
  h,'Respostas ao formulário 1'!$1:$1,
  d,'Respostas ao formulário 1'!$A$2:$ZZ998,
  pessoa,$A14,
  comp,C$1,
  padrao, pessoa &amp; ""( \([^)]*\))?.*\["" &amp; comp &amp; ""\]"",
  idx, FILTER(SEQUENCE(1,COLUMNS(h)), REGEXMATCH(h, padrao)),
  IFERROR( MEDIAN( "&amp;"TOCOL( CHOOSECOLS(d, idx ), 1 ) ), )
)"),"")</f>
        <v/>
      </c>
      <c r="D14" s="9" t="str">
        <f>IFERROR(__xludf.DUMMYFUNCTION("LET(
  h,'Respostas ao formulário 1'!$1:$1,
  d,'Respostas ao formulário 1'!$A$2:$ZZ998,
  pessoa,$A14,
  comp,D$1,
  padrao, pessoa &amp; ""( \([^)]*\))?.*\["" &amp; comp &amp; ""\]"",
  idx, FILTER(SEQUENCE(1,COLUMNS(h)), REGEXMATCH(h, padrao)),
  IFERROR( MEDIAN( "&amp;"TOCOL( CHOOSECOLS(d, idx ), 1 ) ), )
)"),"")</f>
        <v/>
      </c>
      <c r="E14" s="9" t="str">
        <f>IFERROR(__xludf.DUMMYFUNCTION("LET(
  h,'Respostas ao formulário 1'!$1:$1,
  d,'Respostas ao formulário 1'!$A$2:$ZZ998,
  pessoa,$A14,
  comp,E$1,
  padrao, pessoa &amp; ""( \([^)]*\))?.*\["" &amp; comp &amp; ""\]"",
  idx, FILTER(SEQUENCE(1,COLUMNS(h)), REGEXMATCH(h, padrao)),
  IFERROR( MEDIAN( "&amp;"TOCOL( CHOOSECOLS(d, idx ), 1 ) ), )
)"),"")</f>
        <v/>
      </c>
      <c r="F14" s="9" t="str">
        <f>IFERROR(__xludf.DUMMYFUNCTION("LET(
  h,'Respostas ao formulário 1'!$1:$1,
  d,'Respostas ao formulário 1'!$A$2:$ZZ998,
  pessoa,$A14,
  comp,F$1,
  padrao, pessoa &amp; ""( \([^)]*\))?.*\["" &amp; comp &amp; ""\]"",
  idx, FILTER(SEQUENCE(1,COLUMNS(h)), REGEXMATCH(h, padrao)),
  IFERROR( MEDIAN( "&amp;"TOCOL( CHOOSECOLS(d, idx ), 1 ) ), )
)"),"")</f>
        <v/>
      </c>
      <c r="G14" s="9" t="str">
        <f>IFERROR(__xludf.DUMMYFUNCTION("LET(
  h,'Respostas ao formulário 1'!$1:$1,
  d,'Respostas ao formulário 1'!$A$2:$ZZ998,
  pessoa,$A14,
  comp,G$1,
  padrao, pessoa &amp; ""( \([^)]*\))?.*\["" &amp; comp &amp; ""\]"",
  idx, FILTER(SEQUENCE(1,COLUMNS(h)), REGEXMATCH(h, padrao)),
  IFERROR( MEDIAN( "&amp;"TOCOL( CHOOSECOLS(d, idx ), 1 ) ), )
)"),"")</f>
        <v/>
      </c>
      <c r="H14" s="9" t="str">
        <f>IFERROR(__xludf.DUMMYFUNCTION("LET(
  h,'Respostas ao formulário 1'!$1:$1,
  d,'Respostas ao formulário 1'!$A$2:$ZZ998,
  pessoa,$A14,
  comp,H$1,
  padrao, pessoa &amp; ""( \([^)]*\))?.*\["" &amp; comp &amp; ""\]"",
  idx, FILTER(SEQUENCE(1,COLUMNS(h)), REGEXMATCH(h, padrao)),
  IFERROR( MEDIAN( "&amp;"TOCOL( CHOOSECOLS(d, idx ), 1 ) ), )
)"),"")</f>
        <v/>
      </c>
      <c r="I14" s="9" t="str">
        <f>IFERROR(__xludf.DUMMYFUNCTION("LET(
  h,'Respostas ao formulário 1'!$1:$1,
  d,'Respostas ao formulário 1'!$A$2:$ZZ998,
  pessoa,$A14,
  comp,I$1,
  padrao, pessoa &amp; ""( \([^)]*\))?.*\["" &amp; comp &amp; ""\]"",
  idx, FILTER(SEQUENCE(1,COLUMNS(h)), REGEXMATCH(h, padrao)),
  IFERROR( MEDIAN( "&amp;"TOCOL( CHOOSECOLS(d, idx ), 1 ) ), )
)"),"")</f>
        <v/>
      </c>
      <c r="J14" s="9" t="str">
        <f>IFERROR(__xludf.DUMMYFUNCTION("LET(
  h,'Respostas ao formulário 1'!$1:$1,
  d,'Respostas ao formulário 1'!$A$2:$ZZ998,
  pessoa,$A14,
  comp,J$1,
  padrao, pessoa &amp; ""( \([^)]*\))?.*\["" &amp; comp &amp; ""\]"",
  idx, FILTER(SEQUENCE(1,COLUMNS(h)), REGEXMATCH(h, padrao)),
  IFERROR( MEDIAN( "&amp;"TOCOL( CHOOSECOLS(d, idx ), 1 ) ), )
)"),"")</f>
        <v/>
      </c>
      <c r="K14" s="9" t="str">
        <f>IFERROR(__xludf.DUMMYFUNCTION("LET(
  h,'Respostas ao formulário 1'!$1:$1,
  d,'Respostas ao formulário 1'!$A$2:$ZZ998,
  pessoa,$A14,
  comp,K$1,
  padrao, pessoa &amp; ""( \([^)]*\))?.*\["" &amp; comp &amp; ""\]"",
  idx, FILTER(SEQUENCE(1,COLUMNS(h)), REGEXMATCH(h, padrao)),
  IFERROR( MEDIAN( "&amp;"TOCOL( CHOOSECOLS(d, idx ), 1 ) ), )
)"),"")</f>
        <v/>
      </c>
      <c r="L14" s="9" t="str">
        <f>IFERROR(__xludf.DUMMYFUNCTION("LET(
  h,'Respostas ao formulário 1'!$1:$1,
  d,'Respostas ao formulário 1'!$A$2:$ZZ998,
  pessoa,$A14,
  comp,L$1,
  padrao, pessoa &amp; ""( \([^)]*\))?.*\["" &amp; comp &amp; ""\]"",
  idx, FILTER(SEQUENCE(1,COLUMNS(h)), REGEXMATCH(h, padrao)),
  IFERROR( MEDIAN( "&amp;"TOCOL( CHOOSECOLS(d, idx ), 1 ) ), )
)"),"")</f>
        <v/>
      </c>
      <c r="M14" s="10" t="str">
        <f t="shared" si="1"/>
        <v>#DIV/0!</v>
      </c>
    </row>
    <row r="15">
      <c r="A15" s="8" t="s">
        <v>632</v>
      </c>
      <c r="B15" s="9">
        <f>IFERROR(__xludf.DUMMYFUNCTION("LET(
  h,'Respostas ao formulário 1'!$1:$1,
  d,'Respostas ao formulário 1'!$A$2:$ZZ998,
  pessoa,$A15,
  comp,B$1,
  padrao, pessoa &amp; ""( \([^)]*\))?.*\["" &amp; comp &amp; ""\]"",
  idx, FILTER(SEQUENCE(1,COLUMNS(h)), REGEXMATCH(h, padrao)),
  IFERROR( MEDIAN( "&amp;"TOCOL( CHOOSECOLS(d, idx ), 1 ) ), )
)"),3.0)</f>
        <v>3</v>
      </c>
      <c r="C15" s="9">
        <f>IFERROR(__xludf.DUMMYFUNCTION("LET(
  h,'Respostas ao formulário 1'!$1:$1,
  d,'Respostas ao formulário 1'!$A$2:$ZZ998,
  pessoa,$A15,
  comp,C$1,
  padrao, pessoa &amp; ""( \([^)]*\))?.*\["" &amp; comp &amp; ""\]"",
  idx, FILTER(SEQUENCE(1,COLUMNS(h)), REGEXMATCH(h, padrao)),
  IFERROR( MEDIAN( "&amp;"TOCOL( CHOOSECOLS(d, idx ), 1 ) ), )
)"),2.5)</f>
        <v>2.5</v>
      </c>
      <c r="D15" s="9">
        <f>IFERROR(__xludf.DUMMYFUNCTION("LET(
  h,'Respostas ao formulário 1'!$1:$1,
  d,'Respostas ao formulário 1'!$A$2:$ZZ998,
  pessoa,$A15,
  comp,D$1,
  padrao, pessoa &amp; ""( \([^)]*\))?.*\["" &amp; comp &amp; ""\]"",
  idx, FILTER(SEQUENCE(1,COLUMNS(h)), REGEXMATCH(h, padrao)),
  IFERROR( MEDIAN( "&amp;"TOCOL( CHOOSECOLS(d, idx ), 1 ) ), )
)"),3.0)</f>
        <v>3</v>
      </c>
      <c r="E15" s="9">
        <f>IFERROR(__xludf.DUMMYFUNCTION("LET(
  h,'Respostas ao formulário 1'!$1:$1,
  d,'Respostas ao formulário 1'!$A$2:$ZZ998,
  pessoa,$A15,
  comp,E$1,
  padrao, pessoa &amp; ""( \([^)]*\))?.*\["" &amp; comp &amp; ""\]"",
  idx, FILTER(SEQUENCE(1,COLUMNS(h)), REGEXMATCH(h, padrao)),
  IFERROR( MEDIAN( "&amp;"TOCOL( CHOOSECOLS(d, idx ), 1 ) ), )
)"),3.0)</f>
        <v>3</v>
      </c>
      <c r="F15" s="9">
        <f>IFERROR(__xludf.DUMMYFUNCTION("LET(
  h,'Respostas ao formulário 1'!$1:$1,
  d,'Respostas ao formulário 1'!$A$2:$ZZ998,
  pessoa,$A15,
  comp,F$1,
  padrao, pessoa &amp; ""( \([^)]*\))?.*\["" &amp; comp &amp; ""\]"",
  idx, FILTER(SEQUENCE(1,COLUMNS(h)), REGEXMATCH(h, padrao)),
  IFERROR( MEDIAN( "&amp;"TOCOL( CHOOSECOLS(d, idx ), 1 ) ), )
)"),2.5)</f>
        <v>2.5</v>
      </c>
      <c r="G15" s="9">
        <f>IFERROR(__xludf.DUMMYFUNCTION("LET(
  h,'Respostas ao formulário 1'!$1:$1,
  d,'Respostas ao formulário 1'!$A$2:$ZZ998,
  pessoa,$A15,
  comp,G$1,
  padrao, pessoa &amp; ""( \([^)]*\))?.*\["" &amp; comp &amp; ""\]"",
  idx, FILTER(SEQUENCE(1,COLUMNS(h)), REGEXMATCH(h, padrao)),
  IFERROR( MEDIAN( "&amp;"TOCOL( CHOOSECOLS(d, idx ), 1 ) ), )
)"),3.5)</f>
        <v>3.5</v>
      </c>
      <c r="H15" s="9">
        <f>IFERROR(__xludf.DUMMYFUNCTION("LET(
  h,'Respostas ao formulário 1'!$1:$1,
  d,'Respostas ao formulário 1'!$A$2:$ZZ998,
  pessoa,$A15,
  comp,H$1,
  padrao, pessoa &amp; ""( \([^)]*\))?.*\["" &amp; comp &amp; ""\]"",
  idx, FILTER(SEQUENCE(1,COLUMNS(h)), REGEXMATCH(h, padrao)),
  IFERROR( MEDIAN( "&amp;"TOCOL( CHOOSECOLS(d, idx ), 1 ) ), )
)"),2.0)</f>
        <v>2</v>
      </c>
      <c r="I15" s="9">
        <f>IFERROR(__xludf.DUMMYFUNCTION("LET(
  h,'Respostas ao formulário 1'!$1:$1,
  d,'Respostas ao formulário 1'!$A$2:$ZZ998,
  pessoa,$A15,
  comp,I$1,
  padrao, pessoa &amp; ""( \([^)]*\))?.*\["" &amp; comp &amp; ""\]"",
  idx, FILTER(SEQUENCE(1,COLUMNS(h)), REGEXMATCH(h, padrao)),
  IFERROR( MEDIAN( "&amp;"TOCOL( CHOOSECOLS(d, idx ), 1 ) ), )
)"),4.0)</f>
        <v>4</v>
      </c>
      <c r="J15" s="9">
        <f>IFERROR(__xludf.DUMMYFUNCTION("LET(
  h,'Respostas ao formulário 1'!$1:$1,
  d,'Respostas ao formulário 1'!$A$2:$ZZ998,
  pessoa,$A15,
  comp,J$1,
  padrao, pessoa &amp; ""( \([^)]*\))?.*\["" &amp; comp &amp; ""\]"",
  idx, FILTER(SEQUENCE(1,COLUMNS(h)), REGEXMATCH(h, padrao)),
  IFERROR( MEDIAN( "&amp;"TOCOL( CHOOSECOLS(d, idx ), 1 ) ), )
)"),3.0)</f>
        <v>3</v>
      </c>
      <c r="K15" s="9">
        <f>IFERROR(__xludf.DUMMYFUNCTION("LET(
  h,'Respostas ao formulário 1'!$1:$1,
  d,'Respostas ao formulário 1'!$A$2:$ZZ998,
  pessoa,$A15,
  comp,K$1,
  padrao, pessoa &amp; ""( \([^)]*\))?.*\["" &amp; comp &amp; ""\]"",
  idx, FILTER(SEQUENCE(1,COLUMNS(h)), REGEXMATCH(h, padrao)),
  IFERROR( MEDIAN( "&amp;"TOCOL( CHOOSECOLS(d, idx ), 1 ) ), )
)"),3.0)</f>
        <v>3</v>
      </c>
      <c r="L15" s="9">
        <f>IFERROR(__xludf.DUMMYFUNCTION("LET(
  h,'Respostas ao formulário 1'!$1:$1,
  d,'Respostas ao formulário 1'!$A$2:$ZZ998,
  pessoa,$A15,
  comp,L$1,
  padrao, pessoa &amp; ""( \([^)]*\))?.*\["" &amp; comp &amp; ""\]"",
  idx, FILTER(SEQUENCE(1,COLUMNS(h)), REGEXMATCH(h, padrao)),
  IFERROR( MEDIAN( "&amp;"TOCOL( CHOOSECOLS(d, idx ), 1 ) ), )
)"),2.5)</f>
        <v>2.5</v>
      </c>
      <c r="M15" s="10">
        <f t="shared" si="1"/>
        <v>2.909090909</v>
      </c>
    </row>
    <row r="16">
      <c r="A16" s="8" t="s">
        <v>633</v>
      </c>
      <c r="B16" s="9">
        <f>IFERROR(__xludf.DUMMYFUNCTION("LET(
  h,'Respostas ao formulário 1'!$1:$1,
  d,'Respostas ao formulário 1'!$A$2:$ZZ998,
  pessoa,$A16,
  comp,B$1,
  padrao, pessoa &amp; ""( \([^)]*\))?.*\["" &amp; comp &amp; ""\]"",
  idx, FILTER(SEQUENCE(1,COLUMNS(h)), REGEXMATCH(h, padrao)),
  IFERROR( MEDIAN( "&amp;"TOCOL( CHOOSECOLS(d, idx ), 1 ) ), )
)"),3.0)</f>
        <v>3</v>
      </c>
      <c r="C16" s="9">
        <f>IFERROR(__xludf.DUMMYFUNCTION("LET(
  h,'Respostas ao formulário 1'!$1:$1,
  d,'Respostas ao formulário 1'!$A$2:$ZZ998,
  pessoa,$A16,
  comp,C$1,
  padrao, pessoa &amp; ""( \([^)]*\))?.*\["" &amp; comp &amp; ""\]"",
  idx, FILTER(SEQUENCE(1,COLUMNS(h)), REGEXMATCH(h, padrao)),
  IFERROR( MEDIAN( "&amp;"TOCOL( CHOOSECOLS(d, idx ), 1 ) ), )
)"),4.0)</f>
        <v>4</v>
      </c>
      <c r="D16" s="9">
        <f>IFERROR(__xludf.DUMMYFUNCTION("LET(
  h,'Respostas ao formulário 1'!$1:$1,
  d,'Respostas ao formulário 1'!$A$2:$ZZ998,
  pessoa,$A16,
  comp,D$1,
  padrao, pessoa &amp; ""( \([^)]*\))?.*\["" &amp; comp &amp; ""\]"",
  idx, FILTER(SEQUENCE(1,COLUMNS(h)), REGEXMATCH(h, padrao)),
  IFERROR( MEDIAN( "&amp;"TOCOL( CHOOSECOLS(d, idx ), 1 ) ), )
)"),4.0)</f>
        <v>4</v>
      </c>
      <c r="E16" s="9">
        <f>IFERROR(__xludf.DUMMYFUNCTION("LET(
  h,'Respostas ao formulário 1'!$1:$1,
  d,'Respostas ao formulário 1'!$A$2:$ZZ998,
  pessoa,$A16,
  comp,E$1,
  padrao, pessoa &amp; ""( \([^)]*\))?.*\["" &amp; comp &amp; ""\]"",
  idx, FILTER(SEQUENCE(1,COLUMNS(h)), REGEXMATCH(h, padrao)),
  IFERROR( MEDIAN( "&amp;"TOCOL( CHOOSECOLS(d, idx ), 1 ) ), )
)"),3.0)</f>
        <v>3</v>
      </c>
      <c r="F16" s="9">
        <f>IFERROR(__xludf.DUMMYFUNCTION("LET(
  h,'Respostas ao formulário 1'!$1:$1,
  d,'Respostas ao formulário 1'!$A$2:$ZZ998,
  pessoa,$A16,
  comp,F$1,
  padrao, pessoa &amp; ""( \([^)]*\))?.*\["" &amp; comp &amp; ""\]"",
  idx, FILTER(SEQUENCE(1,COLUMNS(h)), REGEXMATCH(h, padrao)),
  IFERROR( MEDIAN( "&amp;"TOCOL( CHOOSECOLS(d, idx ), 1 ) ), )
)"),3.0)</f>
        <v>3</v>
      </c>
      <c r="G16" s="9">
        <f>IFERROR(__xludf.DUMMYFUNCTION("LET(
  h,'Respostas ao formulário 1'!$1:$1,
  d,'Respostas ao formulário 1'!$A$2:$ZZ998,
  pessoa,$A16,
  comp,G$1,
  padrao, pessoa &amp; ""( \([^)]*\))?.*\["" &amp; comp &amp; ""\]"",
  idx, FILTER(SEQUENCE(1,COLUMNS(h)), REGEXMATCH(h, padrao)),
  IFERROR( MEDIAN( "&amp;"TOCOL( CHOOSECOLS(d, idx ), 1 ) ), )
)"),4.0)</f>
        <v>4</v>
      </c>
      <c r="H16" s="9">
        <f>IFERROR(__xludf.DUMMYFUNCTION("LET(
  h,'Respostas ao formulário 1'!$1:$1,
  d,'Respostas ao formulário 1'!$A$2:$ZZ998,
  pessoa,$A16,
  comp,H$1,
  padrao, pessoa &amp; ""( \([^)]*\))?.*\["" &amp; comp &amp; ""\]"",
  idx, FILTER(SEQUENCE(1,COLUMNS(h)), REGEXMATCH(h, padrao)),
  IFERROR( MEDIAN( "&amp;"TOCOL( CHOOSECOLS(d, idx ), 1 ) ), )
)"),3.0)</f>
        <v>3</v>
      </c>
      <c r="I16" s="9">
        <f>IFERROR(__xludf.DUMMYFUNCTION("LET(
  h,'Respostas ao formulário 1'!$1:$1,
  d,'Respostas ao formulário 1'!$A$2:$ZZ998,
  pessoa,$A16,
  comp,I$1,
  padrao, pessoa &amp; ""( \([^)]*\))?.*\["" &amp; comp &amp; ""\]"",
  idx, FILTER(SEQUENCE(1,COLUMNS(h)), REGEXMATCH(h, padrao)),
  IFERROR( MEDIAN( "&amp;"TOCOL( CHOOSECOLS(d, idx ), 1 ) ), )
)"),4.0)</f>
        <v>4</v>
      </c>
      <c r="J16" s="9">
        <f>IFERROR(__xludf.DUMMYFUNCTION("LET(
  h,'Respostas ao formulário 1'!$1:$1,
  d,'Respostas ao formulário 1'!$A$2:$ZZ998,
  pessoa,$A16,
  comp,J$1,
  padrao, pessoa &amp; ""( \([^)]*\))?.*\["" &amp; comp &amp; ""\]"",
  idx, FILTER(SEQUENCE(1,COLUMNS(h)), REGEXMATCH(h, padrao)),
  IFERROR( MEDIAN( "&amp;"TOCOL( CHOOSECOLS(d, idx ), 1 ) ), )
)"),3.0)</f>
        <v>3</v>
      </c>
      <c r="K16" s="9">
        <f>IFERROR(__xludf.DUMMYFUNCTION("LET(
  h,'Respostas ao formulário 1'!$1:$1,
  d,'Respostas ao formulário 1'!$A$2:$ZZ998,
  pessoa,$A16,
  comp,K$1,
  padrao, pessoa &amp; ""( \([^)]*\))?.*\["" &amp; comp &amp; ""\]"",
  idx, FILTER(SEQUENCE(1,COLUMNS(h)), REGEXMATCH(h, padrao)),
  IFERROR( MEDIAN( "&amp;"TOCOL( CHOOSECOLS(d, idx ), 1 ) ), )
)"),3.0)</f>
        <v>3</v>
      </c>
      <c r="L16" s="9">
        <f>IFERROR(__xludf.DUMMYFUNCTION("LET(
  h,'Respostas ao formulário 1'!$1:$1,
  d,'Respostas ao formulário 1'!$A$2:$ZZ998,
  pessoa,$A16,
  comp,L$1,
  padrao, pessoa &amp; ""( \([^)]*\))?.*\["" &amp; comp &amp; ""\]"",
  idx, FILTER(SEQUENCE(1,COLUMNS(h)), REGEXMATCH(h, padrao)),
  IFERROR( MEDIAN( "&amp;"TOCOL( CHOOSECOLS(d, idx ), 1 ) ), )
)"),3.0)</f>
        <v>3</v>
      </c>
      <c r="M16" s="10">
        <f t="shared" si="1"/>
        <v>3.363636364</v>
      </c>
    </row>
    <row r="17">
      <c r="A17" s="8" t="s">
        <v>634</v>
      </c>
      <c r="B17" s="9">
        <f>IFERROR(__xludf.DUMMYFUNCTION("LET(
  h,'Respostas ao formulário 1'!$1:$1,
  d,'Respostas ao formulário 1'!$A$2:$ZZ998,
  pessoa,$A17,
  comp,B$1,
  padrao, pessoa &amp; ""( \([^)]*\))?.*\["" &amp; comp &amp; ""\]"",
  idx, FILTER(SEQUENCE(1,COLUMNS(h)), REGEXMATCH(h, padrao)),
  IFERROR( MEDIAN( "&amp;"TOCOL( CHOOSECOLS(d, idx ), 1 ) ), )
)"),3.0)</f>
        <v>3</v>
      </c>
      <c r="C17" s="9">
        <f>IFERROR(__xludf.DUMMYFUNCTION("LET(
  h,'Respostas ao formulário 1'!$1:$1,
  d,'Respostas ao formulário 1'!$A$2:$ZZ998,
  pessoa,$A17,
  comp,C$1,
  padrao, pessoa &amp; ""( \([^)]*\))?.*\["" &amp; comp &amp; ""\]"",
  idx, FILTER(SEQUENCE(1,COLUMNS(h)), REGEXMATCH(h, padrao)),
  IFERROR( MEDIAN( "&amp;"TOCOL( CHOOSECOLS(d, idx ), 1 ) ), )
)"),3.5)</f>
        <v>3.5</v>
      </c>
      <c r="D17" s="9">
        <f>IFERROR(__xludf.DUMMYFUNCTION("LET(
  h,'Respostas ao formulário 1'!$1:$1,
  d,'Respostas ao formulário 1'!$A$2:$ZZ998,
  pessoa,$A17,
  comp,D$1,
  padrao, pessoa &amp; ""( \([^)]*\))?.*\["" &amp; comp &amp; ""\]"",
  idx, FILTER(SEQUENCE(1,COLUMNS(h)), REGEXMATCH(h, padrao)),
  IFERROR( MEDIAN( "&amp;"TOCOL( CHOOSECOLS(d, idx ), 1 ) ), )
)"),3.0)</f>
        <v>3</v>
      </c>
      <c r="E17" s="9">
        <f>IFERROR(__xludf.DUMMYFUNCTION("LET(
  h,'Respostas ao formulário 1'!$1:$1,
  d,'Respostas ao formulário 1'!$A$2:$ZZ998,
  pessoa,$A17,
  comp,E$1,
  padrao, pessoa &amp; ""( \([^)]*\))?.*\["" &amp; comp &amp; ""\]"",
  idx, FILTER(SEQUENCE(1,COLUMNS(h)), REGEXMATCH(h, padrao)),
  IFERROR( MEDIAN( "&amp;"TOCOL( CHOOSECOLS(d, idx ), 1 ) ), )
)"),3.0)</f>
        <v>3</v>
      </c>
      <c r="F17" s="9">
        <f>IFERROR(__xludf.DUMMYFUNCTION("LET(
  h,'Respostas ao formulário 1'!$1:$1,
  d,'Respostas ao formulário 1'!$A$2:$ZZ998,
  pessoa,$A17,
  comp,F$1,
  padrao, pessoa &amp; ""( \([^)]*\))?.*\["" &amp; comp &amp; ""\]"",
  idx, FILTER(SEQUENCE(1,COLUMNS(h)), REGEXMATCH(h, padrao)),
  IFERROR( MEDIAN( "&amp;"TOCOL( CHOOSECOLS(d, idx ), 1 ) ), )
)"),2.5)</f>
        <v>2.5</v>
      </c>
      <c r="G17" s="9">
        <f>IFERROR(__xludf.DUMMYFUNCTION("LET(
  h,'Respostas ao formulário 1'!$1:$1,
  d,'Respostas ao formulário 1'!$A$2:$ZZ998,
  pessoa,$A17,
  comp,G$1,
  padrao, pessoa &amp; ""( \([^)]*\))?.*\["" &amp; comp &amp; ""\]"",
  idx, FILTER(SEQUENCE(1,COLUMNS(h)), REGEXMATCH(h, padrao)),
  IFERROR( MEDIAN( "&amp;"TOCOL( CHOOSECOLS(d, idx ), 1 ) ), )
)"),3.0)</f>
        <v>3</v>
      </c>
      <c r="H17" s="9">
        <f>IFERROR(__xludf.DUMMYFUNCTION("LET(
  h,'Respostas ao formulário 1'!$1:$1,
  d,'Respostas ao formulário 1'!$A$2:$ZZ998,
  pessoa,$A17,
  comp,H$1,
  padrao, pessoa &amp; ""( \([^)]*\))?.*\["" &amp; comp &amp; ""\]"",
  idx, FILTER(SEQUENCE(1,COLUMNS(h)), REGEXMATCH(h, padrao)),
  IFERROR( MEDIAN( "&amp;"TOCOL( CHOOSECOLS(d, idx ), 1 ) ), )
)"),2.5)</f>
        <v>2.5</v>
      </c>
      <c r="I17" s="9">
        <f>IFERROR(__xludf.DUMMYFUNCTION("LET(
  h,'Respostas ao formulário 1'!$1:$1,
  d,'Respostas ao formulário 1'!$A$2:$ZZ998,
  pessoa,$A17,
  comp,I$1,
  padrao, pessoa &amp; ""( \([^)]*\))?.*\["" &amp; comp &amp; ""\]"",
  idx, FILTER(SEQUENCE(1,COLUMNS(h)), REGEXMATCH(h, padrao)),
  IFERROR( MEDIAN( "&amp;"TOCOL( CHOOSECOLS(d, idx ), 1 ) ), )
)"),3.0)</f>
        <v>3</v>
      </c>
      <c r="J17" s="9">
        <f>IFERROR(__xludf.DUMMYFUNCTION("LET(
  h,'Respostas ao formulário 1'!$1:$1,
  d,'Respostas ao formulário 1'!$A$2:$ZZ998,
  pessoa,$A17,
  comp,J$1,
  padrao, pessoa &amp; ""( \([^)]*\))?.*\["" &amp; comp &amp; ""\]"",
  idx, FILTER(SEQUENCE(1,COLUMNS(h)), REGEXMATCH(h, padrao)),
  IFERROR( MEDIAN( "&amp;"TOCOL( CHOOSECOLS(d, idx ), 1 ) ), )
)"),4.0)</f>
        <v>4</v>
      </c>
      <c r="K17" s="9">
        <f>IFERROR(__xludf.DUMMYFUNCTION("LET(
  h,'Respostas ao formulário 1'!$1:$1,
  d,'Respostas ao formulário 1'!$A$2:$ZZ998,
  pessoa,$A17,
  comp,K$1,
  padrao, pessoa &amp; ""( \([^)]*\))?.*\["" &amp; comp &amp; ""\]"",
  idx, FILTER(SEQUENCE(1,COLUMNS(h)), REGEXMATCH(h, padrao)),
  IFERROR( MEDIAN( "&amp;"TOCOL( CHOOSECOLS(d, idx ), 1 ) ), )
)"),2.5)</f>
        <v>2.5</v>
      </c>
      <c r="L17" s="9">
        <f>IFERROR(__xludf.DUMMYFUNCTION("LET(
  h,'Respostas ao formulário 1'!$1:$1,
  d,'Respostas ao formulário 1'!$A$2:$ZZ998,
  pessoa,$A17,
  comp,L$1,
  padrao, pessoa &amp; ""( \([^)]*\))?.*\["" &amp; comp &amp; ""\]"",
  idx, FILTER(SEQUENCE(1,COLUMNS(h)), REGEXMATCH(h, padrao)),
  IFERROR( MEDIAN( "&amp;"TOCOL( CHOOSECOLS(d, idx ), 1 ) ), )
)"),3.5)</f>
        <v>3.5</v>
      </c>
      <c r="M17" s="10">
        <f t="shared" si="1"/>
        <v>3.045454545</v>
      </c>
    </row>
    <row r="18">
      <c r="A18" s="8" t="s">
        <v>635</v>
      </c>
      <c r="B18" s="9">
        <f>IFERROR(__xludf.DUMMYFUNCTION("LET(
  h,'Respostas ao formulário 1'!$1:$1,
  d,'Respostas ao formulário 1'!$A$2:$ZZ998,
  pessoa,$A18,
  comp,B$1,
  padrao, pessoa &amp; ""( \([^)]*\))?.*\["" &amp; comp &amp; ""\]"",
  idx, FILTER(SEQUENCE(1,COLUMNS(h)), REGEXMATCH(h, padrao)),
  IFERROR( MEDIAN( "&amp;"TOCOL( CHOOSECOLS(d, idx ), 1 ) ), )
)"),3.0)</f>
        <v>3</v>
      </c>
      <c r="C18" s="9">
        <f>IFERROR(__xludf.DUMMYFUNCTION("LET(
  h,'Respostas ao formulário 1'!$1:$1,
  d,'Respostas ao formulário 1'!$A$2:$ZZ998,
  pessoa,$A18,
  comp,C$1,
  padrao, pessoa &amp; ""( \([^)]*\))?.*\["" &amp; comp &amp; ""\]"",
  idx, FILTER(SEQUENCE(1,COLUMNS(h)), REGEXMATCH(h, padrao)),
  IFERROR( MEDIAN( "&amp;"TOCOL( CHOOSECOLS(d, idx ), 1 ) ), )
)"),4.0)</f>
        <v>4</v>
      </c>
      <c r="D18" s="9">
        <f>IFERROR(__xludf.DUMMYFUNCTION("LET(
  h,'Respostas ao formulário 1'!$1:$1,
  d,'Respostas ao formulário 1'!$A$2:$ZZ998,
  pessoa,$A18,
  comp,D$1,
  padrao, pessoa &amp; ""( \([^)]*\))?.*\["" &amp; comp &amp; ""\]"",
  idx, FILTER(SEQUENCE(1,COLUMNS(h)), REGEXMATCH(h, padrao)),
  IFERROR( MEDIAN( "&amp;"TOCOL( CHOOSECOLS(d, idx ), 1 ) ), )
)"),2.0)</f>
        <v>2</v>
      </c>
      <c r="E18" s="9">
        <f>IFERROR(__xludf.DUMMYFUNCTION("LET(
  h,'Respostas ao formulário 1'!$1:$1,
  d,'Respostas ao formulário 1'!$A$2:$ZZ998,
  pessoa,$A18,
  comp,E$1,
  padrao, pessoa &amp; ""( \([^)]*\))?.*\["" &amp; comp &amp; ""\]"",
  idx, FILTER(SEQUENCE(1,COLUMNS(h)), REGEXMATCH(h, padrao)),
  IFERROR( MEDIAN( "&amp;"TOCOL( CHOOSECOLS(d, idx ), 1 ) ), )
)"),4.0)</f>
        <v>4</v>
      </c>
      <c r="F18" s="9">
        <f>IFERROR(__xludf.DUMMYFUNCTION("LET(
  h,'Respostas ao formulário 1'!$1:$1,
  d,'Respostas ao formulário 1'!$A$2:$ZZ998,
  pessoa,$A18,
  comp,F$1,
  padrao, pessoa &amp; ""( \([^)]*\))?.*\["" &amp; comp &amp; ""\]"",
  idx, FILTER(SEQUENCE(1,COLUMNS(h)), REGEXMATCH(h, padrao)),
  IFERROR( MEDIAN( "&amp;"TOCOL( CHOOSECOLS(d, idx ), 1 ) ), )
)"),2.0)</f>
        <v>2</v>
      </c>
      <c r="G18" s="9">
        <f>IFERROR(__xludf.DUMMYFUNCTION("LET(
  h,'Respostas ao formulário 1'!$1:$1,
  d,'Respostas ao formulário 1'!$A$2:$ZZ998,
  pessoa,$A18,
  comp,G$1,
  padrao, pessoa &amp; ""( \([^)]*\))?.*\["" &amp; comp &amp; ""\]"",
  idx, FILTER(SEQUENCE(1,COLUMNS(h)), REGEXMATCH(h, padrao)),
  IFERROR( MEDIAN( "&amp;"TOCOL( CHOOSECOLS(d, idx ), 1 ) ), )
)"),3.0)</f>
        <v>3</v>
      </c>
      <c r="H18" s="9">
        <f>IFERROR(__xludf.DUMMYFUNCTION("LET(
  h,'Respostas ao formulário 1'!$1:$1,
  d,'Respostas ao formulário 1'!$A$2:$ZZ998,
  pessoa,$A18,
  comp,H$1,
  padrao, pessoa &amp; ""( \([^)]*\))?.*\["" &amp; comp &amp; ""\]"",
  idx, FILTER(SEQUENCE(1,COLUMNS(h)), REGEXMATCH(h, padrao)),
  IFERROR( MEDIAN( "&amp;"TOCOL( CHOOSECOLS(d, idx ), 1 ) ), )
)"),4.0)</f>
        <v>4</v>
      </c>
      <c r="I18" s="9">
        <f>IFERROR(__xludf.DUMMYFUNCTION("LET(
  h,'Respostas ao formulário 1'!$1:$1,
  d,'Respostas ao formulário 1'!$A$2:$ZZ998,
  pessoa,$A18,
  comp,I$1,
  padrao, pessoa &amp; ""( \([^)]*\))?.*\["" &amp; comp &amp; ""\]"",
  idx, FILTER(SEQUENCE(1,COLUMNS(h)), REGEXMATCH(h, padrao)),
  IFERROR( MEDIAN( "&amp;"TOCOL( CHOOSECOLS(d, idx ), 1 ) ), )
)"),3.0)</f>
        <v>3</v>
      </c>
      <c r="J18" s="9">
        <f>IFERROR(__xludf.DUMMYFUNCTION("LET(
  h,'Respostas ao formulário 1'!$1:$1,
  d,'Respostas ao formulário 1'!$A$2:$ZZ998,
  pessoa,$A18,
  comp,J$1,
  padrao, pessoa &amp; ""( \([^)]*\))?.*\["" &amp; comp &amp; ""\]"",
  idx, FILTER(SEQUENCE(1,COLUMNS(h)), REGEXMATCH(h, padrao)),
  IFERROR( MEDIAN( "&amp;"TOCOL( CHOOSECOLS(d, idx ), 1 ) ), )
)"),4.0)</f>
        <v>4</v>
      </c>
      <c r="K18" s="9">
        <f>IFERROR(__xludf.DUMMYFUNCTION("LET(
  h,'Respostas ao formulário 1'!$1:$1,
  d,'Respostas ao formulário 1'!$A$2:$ZZ998,
  pessoa,$A18,
  comp,K$1,
  padrao, pessoa &amp; ""( \([^)]*\))?.*\["" &amp; comp &amp; ""\]"",
  idx, FILTER(SEQUENCE(1,COLUMNS(h)), REGEXMATCH(h, padrao)),
  IFERROR( MEDIAN( "&amp;"TOCOL( CHOOSECOLS(d, idx ), 1 ) ), )
)"),2.0)</f>
        <v>2</v>
      </c>
      <c r="L18" s="9">
        <f>IFERROR(__xludf.DUMMYFUNCTION("LET(
  h,'Respostas ao formulário 1'!$1:$1,
  d,'Respostas ao formulário 1'!$A$2:$ZZ998,
  pessoa,$A18,
  comp,L$1,
  padrao, pessoa &amp; ""( \([^)]*\))?.*\["" &amp; comp &amp; ""\]"",
  idx, FILTER(SEQUENCE(1,COLUMNS(h)), REGEXMATCH(h, padrao)),
  IFERROR( MEDIAN( "&amp;"TOCOL( CHOOSECOLS(d, idx ), 1 ) ), )
)"),4.0)</f>
        <v>4</v>
      </c>
      <c r="M18" s="10">
        <f t="shared" si="1"/>
        <v>3.181818182</v>
      </c>
    </row>
    <row r="19">
      <c r="A19" s="8" t="s">
        <v>636</v>
      </c>
      <c r="B19" s="9">
        <f>IFERROR(__xludf.DUMMYFUNCTION("LET(
  h,'Respostas ao formulário 1'!$1:$1,
  d,'Respostas ao formulário 1'!$A$2:$ZZ998,
  pessoa,$A19,
  comp,B$1,
  padrao, pessoa &amp; ""( \([^)]*\))?.*\["" &amp; comp &amp; ""\]"",
  idx, FILTER(SEQUENCE(1,COLUMNS(h)), REGEXMATCH(h, padrao)),
  IFERROR( MEDIAN( "&amp;"TOCOL( CHOOSECOLS(d, idx ), 1 ) ), )
)"),2.0)</f>
        <v>2</v>
      </c>
      <c r="C19" s="9">
        <f>IFERROR(__xludf.DUMMYFUNCTION("LET(
  h,'Respostas ao formulário 1'!$1:$1,
  d,'Respostas ao formulário 1'!$A$2:$ZZ998,
  pessoa,$A19,
  comp,C$1,
  padrao, pessoa &amp; ""( \([^)]*\))?.*\["" &amp; comp &amp; ""\]"",
  idx, FILTER(SEQUENCE(1,COLUMNS(h)), REGEXMATCH(h, padrao)),
  IFERROR( MEDIAN( "&amp;"TOCOL( CHOOSECOLS(d, idx ), 1 ) ), )
)"),3.0)</f>
        <v>3</v>
      </c>
      <c r="D19" s="9">
        <f>IFERROR(__xludf.DUMMYFUNCTION("LET(
  h,'Respostas ao formulário 1'!$1:$1,
  d,'Respostas ao formulário 1'!$A$2:$ZZ998,
  pessoa,$A19,
  comp,D$1,
  padrao, pessoa &amp; ""( \([^)]*\))?.*\["" &amp; comp &amp; ""\]"",
  idx, FILTER(SEQUENCE(1,COLUMNS(h)), REGEXMATCH(h, padrao)),
  IFERROR( MEDIAN( "&amp;"TOCOL( CHOOSECOLS(d, idx ), 1 ) ), )
)"),2.0)</f>
        <v>2</v>
      </c>
      <c r="E19" s="9">
        <f>IFERROR(__xludf.DUMMYFUNCTION("LET(
  h,'Respostas ao formulário 1'!$1:$1,
  d,'Respostas ao formulário 1'!$A$2:$ZZ998,
  pessoa,$A19,
  comp,E$1,
  padrao, pessoa &amp; ""( \([^)]*\))?.*\["" &amp; comp &amp; ""\]"",
  idx, FILTER(SEQUENCE(1,COLUMNS(h)), REGEXMATCH(h, padrao)),
  IFERROR( MEDIAN( "&amp;"TOCOL( CHOOSECOLS(d, idx ), 1 ) ), )
)"),4.0)</f>
        <v>4</v>
      </c>
      <c r="F19" s="9">
        <f>IFERROR(__xludf.DUMMYFUNCTION("LET(
  h,'Respostas ao formulário 1'!$1:$1,
  d,'Respostas ao formulário 1'!$A$2:$ZZ998,
  pessoa,$A19,
  comp,F$1,
  padrao, pessoa &amp; ""( \([^)]*\))?.*\["" &amp; comp &amp; ""\]"",
  idx, FILTER(SEQUENCE(1,COLUMNS(h)), REGEXMATCH(h, padrao)),
  IFERROR( MEDIAN( "&amp;"TOCOL( CHOOSECOLS(d, idx ), 1 ) ), )
)"),2.0)</f>
        <v>2</v>
      </c>
      <c r="G19" s="9">
        <f>IFERROR(__xludf.DUMMYFUNCTION("LET(
  h,'Respostas ao formulário 1'!$1:$1,
  d,'Respostas ao formulário 1'!$A$2:$ZZ998,
  pessoa,$A19,
  comp,G$1,
  padrao, pessoa &amp; ""( \([^)]*\))?.*\["" &amp; comp &amp; ""\]"",
  idx, FILTER(SEQUENCE(1,COLUMNS(h)), REGEXMATCH(h, padrao)),
  IFERROR( MEDIAN( "&amp;"TOCOL( CHOOSECOLS(d, idx ), 1 ) ), )
)"),3.0)</f>
        <v>3</v>
      </c>
      <c r="H19" s="9">
        <f>IFERROR(__xludf.DUMMYFUNCTION("LET(
  h,'Respostas ao formulário 1'!$1:$1,
  d,'Respostas ao formulário 1'!$A$2:$ZZ998,
  pessoa,$A19,
  comp,H$1,
  padrao, pessoa &amp; ""( \([^)]*\))?.*\["" &amp; comp &amp; ""\]"",
  idx, FILTER(SEQUENCE(1,COLUMNS(h)), REGEXMATCH(h, padrao)),
  IFERROR( MEDIAN( "&amp;"TOCOL( CHOOSECOLS(d, idx ), 1 ) ), )
)"),2.0)</f>
        <v>2</v>
      </c>
      <c r="I19" s="9">
        <f>IFERROR(__xludf.DUMMYFUNCTION("LET(
  h,'Respostas ao formulário 1'!$1:$1,
  d,'Respostas ao formulário 1'!$A$2:$ZZ998,
  pessoa,$A19,
  comp,I$1,
  padrao, pessoa &amp; ""( \([^)]*\))?.*\["" &amp; comp &amp; ""\]"",
  idx, FILTER(SEQUENCE(1,COLUMNS(h)), REGEXMATCH(h, padrao)),
  IFERROR( MEDIAN( "&amp;"TOCOL( CHOOSECOLS(d, idx ), 1 ) ), )
)"),3.0)</f>
        <v>3</v>
      </c>
      <c r="J19" s="9">
        <f>IFERROR(__xludf.DUMMYFUNCTION("LET(
  h,'Respostas ao formulário 1'!$1:$1,
  d,'Respostas ao formulário 1'!$A$2:$ZZ998,
  pessoa,$A19,
  comp,J$1,
  padrao, pessoa &amp; ""( \([^)]*\))?.*\["" &amp; comp &amp; ""\]"",
  idx, FILTER(SEQUENCE(1,COLUMNS(h)), REGEXMATCH(h, padrao)),
  IFERROR( MEDIAN( "&amp;"TOCOL( CHOOSECOLS(d, idx ), 1 ) ), )
)"),3.0)</f>
        <v>3</v>
      </c>
      <c r="K19" s="9">
        <f>IFERROR(__xludf.DUMMYFUNCTION("LET(
  h,'Respostas ao formulário 1'!$1:$1,
  d,'Respostas ao formulário 1'!$A$2:$ZZ998,
  pessoa,$A19,
  comp,K$1,
  padrao, pessoa &amp; ""( \([^)]*\))?.*\["" &amp; comp &amp; ""\]"",
  idx, FILTER(SEQUENCE(1,COLUMNS(h)), REGEXMATCH(h, padrao)),
  IFERROR( MEDIAN( "&amp;"TOCOL( CHOOSECOLS(d, idx ), 1 ) ), )
)"),3.0)</f>
        <v>3</v>
      </c>
      <c r="L19" s="9">
        <f>IFERROR(__xludf.DUMMYFUNCTION("LET(
  h,'Respostas ao formulário 1'!$1:$1,
  d,'Respostas ao formulário 1'!$A$2:$ZZ998,
  pessoa,$A19,
  comp,L$1,
  padrao, pessoa &amp; ""( \([^)]*\))?.*\["" &amp; comp &amp; ""\]"",
  idx, FILTER(SEQUENCE(1,COLUMNS(h)), REGEXMATCH(h, padrao)),
  IFERROR( MEDIAN( "&amp;"TOCOL( CHOOSECOLS(d, idx ), 1 ) ), )
)"),3.0)</f>
        <v>3</v>
      </c>
      <c r="M19" s="10">
        <f t="shared" si="1"/>
        <v>2.727272727</v>
      </c>
    </row>
    <row r="20">
      <c r="A20" s="8" t="s">
        <v>637</v>
      </c>
      <c r="B20" s="9">
        <f>IFERROR(__xludf.DUMMYFUNCTION("LET(
  h,'Respostas ao formulário 1'!$1:$1,
  d,'Respostas ao formulário 1'!$A$2:$ZZ998,
  pessoa,$A20,
  comp,B$1,
  padrao, pessoa &amp; ""( \([^)]*\))?.*\["" &amp; comp &amp; ""\]"",
  idx, FILTER(SEQUENCE(1,COLUMNS(h)), REGEXMATCH(h, padrao)),
  IFERROR( MEDIAN( "&amp;"TOCOL( CHOOSECOLS(d, idx ), 1 ) ), )
)"),2.0)</f>
        <v>2</v>
      </c>
      <c r="C20" s="9">
        <f>IFERROR(__xludf.DUMMYFUNCTION("LET(
  h,'Respostas ao formulário 1'!$1:$1,
  d,'Respostas ao formulário 1'!$A$2:$ZZ998,
  pessoa,$A20,
  comp,C$1,
  padrao, pessoa &amp; ""( \([^)]*\))?.*\["" &amp; comp &amp; ""\]"",
  idx, FILTER(SEQUENCE(1,COLUMNS(h)), REGEXMATCH(h, padrao)),
  IFERROR( MEDIAN( "&amp;"TOCOL( CHOOSECOLS(d, idx ), 1 ) ), )
)"),3.0)</f>
        <v>3</v>
      </c>
      <c r="D20" s="9">
        <f>IFERROR(__xludf.DUMMYFUNCTION("LET(
  h,'Respostas ao formulário 1'!$1:$1,
  d,'Respostas ao formulário 1'!$A$2:$ZZ998,
  pessoa,$A20,
  comp,D$1,
  padrao, pessoa &amp; ""( \([^)]*\))?.*\["" &amp; comp &amp; ""\]"",
  idx, FILTER(SEQUENCE(1,COLUMNS(h)), REGEXMATCH(h, padrao)),
  IFERROR( MEDIAN( "&amp;"TOCOL( CHOOSECOLS(d, idx ), 1 ) ), )
)"),3.0)</f>
        <v>3</v>
      </c>
      <c r="E20" s="9">
        <f>IFERROR(__xludf.DUMMYFUNCTION("LET(
  h,'Respostas ao formulário 1'!$1:$1,
  d,'Respostas ao formulário 1'!$A$2:$ZZ998,
  pessoa,$A20,
  comp,E$1,
  padrao, pessoa &amp; ""( \([^)]*\))?.*\["" &amp; comp &amp; ""\]"",
  idx, FILTER(SEQUENCE(1,COLUMNS(h)), REGEXMATCH(h, padrao)),
  IFERROR( MEDIAN( "&amp;"TOCOL( CHOOSECOLS(d, idx ), 1 ) ), )
)"),4.0)</f>
        <v>4</v>
      </c>
      <c r="F20" s="9">
        <f>IFERROR(__xludf.DUMMYFUNCTION("LET(
  h,'Respostas ao formulário 1'!$1:$1,
  d,'Respostas ao formulário 1'!$A$2:$ZZ998,
  pessoa,$A20,
  comp,F$1,
  padrao, pessoa &amp; ""( \([^)]*\))?.*\["" &amp; comp &amp; ""\]"",
  idx, FILTER(SEQUENCE(1,COLUMNS(h)), REGEXMATCH(h, padrao)),
  IFERROR( MEDIAN( "&amp;"TOCOL( CHOOSECOLS(d, idx ), 1 ) ), )
)"),3.0)</f>
        <v>3</v>
      </c>
      <c r="G20" s="9">
        <f>IFERROR(__xludf.DUMMYFUNCTION("LET(
  h,'Respostas ao formulário 1'!$1:$1,
  d,'Respostas ao formulário 1'!$A$2:$ZZ998,
  pessoa,$A20,
  comp,G$1,
  padrao, pessoa &amp; ""( \([^)]*\))?.*\["" &amp; comp &amp; ""\]"",
  idx, FILTER(SEQUENCE(1,COLUMNS(h)), REGEXMATCH(h, padrao)),
  IFERROR( MEDIAN( "&amp;"TOCOL( CHOOSECOLS(d, idx ), 1 ) ), )
)"),3.0)</f>
        <v>3</v>
      </c>
      <c r="H20" s="9">
        <f>IFERROR(__xludf.DUMMYFUNCTION("LET(
  h,'Respostas ao formulário 1'!$1:$1,
  d,'Respostas ao formulário 1'!$A$2:$ZZ998,
  pessoa,$A20,
  comp,H$1,
  padrao, pessoa &amp; ""( \([^)]*\))?.*\["" &amp; comp &amp; ""\]"",
  idx, FILTER(SEQUENCE(1,COLUMNS(h)), REGEXMATCH(h, padrao)),
  IFERROR( MEDIAN( "&amp;"TOCOL( CHOOSECOLS(d, idx ), 1 ) ), )
)"),4.0)</f>
        <v>4</v>
      </c>
      <c r="I20" s="9">
        <f>IFERROR(__xludf.DUMMYFUNCTION("LET(
  h,'Respostas ao formulário 1'!$1:$1,
  d,'Respostas ao formulário 1'!$A$2:$ZZ998,
  pessoa,$A20,
  comp,I$1,
  padrao, pessoa &amp; ""( \([^)]*\))?.*\["" &amp; comp &amp; ""\]"",
  idx, FILTER(SEQUENCE(1,COLUMNS(h)), REGEXMATCH(h, padrao)),
  IFERROR( MEDIAN( "&amp;"TOCOL( CHOOSECOLS(d, idx ), 1 ) ), )
)"),3.0)</f>
        <v>3</v>
      </c>
      <c r="J20" s="9">
        <f>IFERROR(__xludf.DUMMYFUNCTION("LET(
  h,'Respostas ao formulário 1'!$1:$1,
  d,'Respostas ao formulário 1'!$A$2:$ZZ998,
  pessoa,$A20,
  comp,J$1,
  padrao, pessoa &amp; ""( \([^)]*\))?.*\["" &amp; comp &amp; ""\]"",
  idx, FILTER(SEQUENCE(1,COLUMNS(h)), REGEXMATCH(h, padrao)),
  IFERROR( MEDIAN( "&amp;"TOCOL( CHOOSECOLS(d, idx ), 1 ) ), )
)"),4.0)</f>
        <v>4</v>
      </c>
      <c r="K20" s="9">
        <f>IFERROR(__xludf.DUMMYFUNCTION("LET(
  h,'Respostas ao formulário 1'!$1:$1,
  d,'Respostas ao formulário 1'!$A$2:$ZZ998,
  pessoa,$A20,
  comp,K$1,
  padrao, pessoa &amp; ""( \([^)]*\))?.*\["" &amp; comp &amp; ""\]"",
  idx, FILTER(SEQUENCE(1,COLUMNS(h)), REGEXMATCH(h, padrao)),
  IFERROR( MEDIAN( "&amp;"TOCOL( CHOOSECOLS(d, idx ), 1 ) ), )
)"),3.0)</f>
        <v>3</v>
      </c>
      <c r="L20" s="9">
        <f>IFERROR(__xludf.DUMMYFUNCTION("LET(
  h,'Respostas ao formulário 1'!$1:$1,
  d,'Respostas ao formulário 1'!$A$2:$ZZ998,
  pessoa,$A20,
  comp,L$1,
  padrao, pessoa &amp; ""( \([^)]*\))?.*\["" &amp; comp &amp; ""\]"",
  idx, FILTER(SEQUENCE(1,COLUMNS(h)), REGEXMATCH(h, padrao)),
  IFERROR( MEDIAN( "&amp;"TOCOL( CHOOSECOLS(d, idx ), 1 ) ), )
)"),3.0)</f>
        <v>3</v>
      </c>
      <c r="M20" s="10">
        <f t="shared" si="1"/>
        <v>3.181818182</v>
      </c>
    </row>
    <row r="21">
      <c r="A21" s="8" t="s">
        <v>638</v>
      </c>
      <c r="B21" s="9">
        <f>IFERROR(__xludf.DUMMYFUNCTION("LET(
  h,'Respostas ao formulário 1'!$1:$1,
  d,'Respostas ao formulário 1'!$A$2:$ZZ998,
  pessoa,$A21,
  comp,B$1,
  padrao, pessoa &amp; ""( \([^)]*\))?.*\["" &amp; comp &amp; ""\]"",
  idx, FILTER(SEQUENCE(1,COLUMNS(h)), REGEXMATCH(h, padrao)),
  IFERROR( MEDIAN( "&amp;"TOCOL( CHOOSECOLS(d, idx ), 1 ) ), )
)"),2.0)</f>
        <v>2</v>
      </c>
      <c r="C21" s="9">
        <f>IFERROR(__xludf.DUMMYFUNCTION("LET(
  h,'Respostas ao formulário 1'!$1:$1,
  d,'Respostas ao formulário 1'!$A$2:$ZZ998,
  pessoa,$A21,
  comp,C$1,
  padrao, pessoa &amp; ""( \([^)]*\))?.*\["" &amp; comp &amp; ""\]"",
  idx, FILTER(SEQUENCE(1,COLUMNS(h)), REGEXMATCH(h, padrao)),
  IFERROR( MEDIAN( "&amp;"TOCOL( CHOOSECOLS(d, idx ), 1 ) ), )
)"),3.0)</f>
        <v>3</v>
      </c>
      <c r="D21" s="9">
        <f>IFERROR(__xludf.DUMMYFUNCTION("LET(
  h,'Respostas ao formulário 1'!$1:$1,
  d,'Respostas ao formulário 1'!$A$2:$ZZ998,
  pessoa,$A21,
  comp,D$1,
  padrao, pessoa &amp; ""( \([^)]*\))?.*\["" &amp; comp &amp; ""\]"",
  idx, FILTER(SEQUENCE(1,COLUMNS(h)), REGEXMATCH(h, padrao)),
  IFERROR( MEDIAN( "&amp;"TOCOL( CHOOSECOLS(d, idx ), 1 ) ), )
)"),3.0)</f>
        <v>3</v>
      </c>
      <c r="E21" s="9">
        <f>IFERROR(__xludf.DUMMYFUNCTION("LET(
  h,'Respostas ao formulário 1'!$1:$1,
  d,'Respostas ao formulário 1'!$A$2:$ZZ998,
  pessoa,$A21,
  comp,E$1,
  padrao, pessoa &amp; ""( \([^)]*\))?.*\["" &amp; comp &amp; ""\]"",
  idx, FILTER(SEQUENCE(1,COLUMNS(h)), REGEXMATCH(h, padrao)),
  IFERROR( MEDIAN( "&amp;"TOCOL( CHOOSECOLS(d, idx ), 1 ) ), )
)"),4.0)</f>
        <v>4</v>
      </c>
      <c r="F21" s="9">
        <f>IFERROR(__xludf.DUMMYFUNCTION("LET(
  h,'Respostas ao formulário 1'!$1:$1,
  d,'Respostas ao formulário 1'!$A$2:$ZZ998,
  pessoa,$A21,
  comp,F$1,
  padrao, pessoa &amp; ""( \([^)]*\))?.*\["" &amp; comp &amp; ""\]"",
  idx, FILTER(SEQUENCE(1,COLUMNS(h)), REGEXMATCH(h, padrao)),
  IFERROR( MEDIAN( "&amp;"TOCOL( CHOOSECOLS(d, idx ), 1 ) ), )
)"),2.0)</f>
        <v>2</v>
      </c>
      <c r="G21" s="9">
        <f>IFERROR(__xludf.DUMMYFUNCTION("LET(
  h,'Respostas ao formulário 1'!$1:$1,
  d,'Respostas ao formulário 1'!$A$2:$ZZ998,
  pessoa,$A21,
  comp,G$1,
  padrao, pessoa &amp; ""( \([^)]*\))?.*\["" &amp; comp &amp; ""\]"",
  idx, FILTER(SEQUENCE(1,COLUMNS(h)), REGEXMATCH(h, padrao)),
  IFERROR( MEDIAN( "&amp;"TOCOL( CHOOSECOLS(d, idx ), 1 ) ), )
)"),4.0)</f>
        <v>4</v>
      </c>
      <c r="H21" s="9">
        <f>IFERROR(__xludf.DUMMYFUNCTION("LET(
  h,'Respostas ao formulário 1'!$1:$1,
  d,'Respostas ao formulário 1'!$A$2:$ZZ998,
  pessoa,$A21,
  comp,H$1,
  padrao, pessoa &amp; ""( \([^)]*\))?.*\["" &amp; comp &amp; ""\]"",
  idx, FILTER(SEQUENCE(1,COLUMNS(h)), REGEXMATCH(h, padrao)),
  IFERROR( MEDIAN( "&amp;"TOCOL( CHOOSECOLS(d, idx ), 1 ) ), )
)"),2.0)</f>
        <v>2</v>
      </c>
      <c r="I21" s="9">
        <f>IFERROR(__xludf.DUMMYFUNCTION("LET(
  h,'Respostas ao formulário 1'!$1:$1,
  d,'Respostas ao formulário 1'!$A$2:$ZZ998,
  pessoa,$A21,
  comp,I$1,
  padrao, pessoa &amp; ""( \([^)]*\))?.*\["" &amp; comp &amp; ""\]"",
  idx, FILTER(SEQUENCE(1,COLUMNS(h)), REGEXMATCH(h, padrao)),
  IFERROR( MEDIAN( "&amp;"TOCOL( CHOOSECOLS(d, idx ), 1 ) ), )
)"),3.0)</f>
        <v>3</v>
      </c>
      <c r="J21" s="9">
        <f>IFERROR(__xludf.DUMMYFUNCTION("LET(
  h,'Respostas ao formulário 1'!$1:$1,
  d,'Respostas ao formulário 1'!$A$2:$ZZ998,
  pessoa,$A21,
  comp,J$1,
  padrao, pessoa &amp; ""( \([^)]*\))?.*\["" &amp; comp &amp; ""\]"",
  idx, FILTER(SEQUENCE(1,COLUMNS(h)), REGEXMATCH(h, padrao)),
  IFERROR( MEDIAN( "&amp;"TOCOL( CHOOSECOLS(d, idx ), 1 ) ), )
)"),3.0)</f>
        <v>3</v>
      </c>
      <c r="K21" s="9">
        <f>IFERROR(__xludf.DUMMYFUNCTION("LET(
  h,'Respostas ao formulário 1'!$1:$1,
  d,'Respostas ao formulário 1'!$A$2:$ZZ998,
  pessoa,$A21,
  comp,K$1,
  padrao, pessoa &amp; ""( \([^)]*\))?.*\["" &amp; comp &amp; ""\]"",
  idx, FILTER(SEQUENCE(1,COLUMNS(h)), REGEXMATCH(h, padrao)),
  IFERROR( MEDIAN( "&amp;"TOCOL( CHOOSECOLS(d, idx ), 1 ) ), )
)"),2.0)</f>
        <v>2</v>
      </c>
      <c r="L21" s="9">
        <f>IFERROR(__xludf.DUMMYFUNCTION("LET(
  h,'Respostas ao formulário 1'!$1:$1,
  d,'Respostas ao formulário 1'!$A$2:$ZZ998,
  pessoa,$A21,
  comp,L$1,
  padrao, pessoa &amp; ""( \([^)]*\))?.*\["" &amp; comp &amp; ""\]"",
  idx, FILTER(SEQUENCE(1,COLUMNS(h)), REGEXMATCH(h, padrao)),
  IFERROR( MEDIAN( "&amp;"TOCOL( CHOOSECOLS(d, idx ), 1 ) ), )
)"),3.0)</f>
        <v>3</v>
      </c>
      <c r="M21" s="10">
        <f t="shared" si="1"/>
        <v>2.818181818</v>
      </c>
    </row>
    <row r="22">
      <c r="A22" s="8" t="s">
        <v>639</v>
      </c>
      <c r="B22" s="9">
        <f>IFERROR(__xludf.DUMMYFUNCTION("LET(
  h,'Respostas ao formulário 1'!$1:$1,
  d,'Respostas ao formulário 1'!$A$2:$ZZ998,
  pessoa,$A22,
  comp,B$1,
  padrao, pessoa &amp; ""( \([^)]*\))?.*\["" &amp; comp &amp; ""\]"",
  idx, FILTER(SEQUENCE(1,COLUMNS(h)), REGEXMATCH(h, padrao)),
  IFERROR( MEDIAN( "&amp;"TOCOL( CHOOSECOLS(d, idx ), 1 ) ), )
)"),3.0)</f>
        <v>3</v>
      </c>
      <c r="C22" s="9">
        <f>IFERROR(__xludf.DUMMYFUNCTION("LET(
  h,'Respostas ao formulário 1'!$1:$1,
  d,'Respostas ao formulário 1'!$A$2:$ZZ998,
  pessoa,$A22,
  comp,C$1,
  padrao, pessoa &amp; ""( \([^)]*\))?.*\["" &amp; comp &amp; ""\]"",
  idx, FILTER(SEQUENCE(1,COLUMNS(h)), REGEXMATCH(h, padrao)),
  IFERROR( MEDIAN( "&amp;"TOCOL( CHOOSECOLS(d, idx ), 1 ) ), )
)"),4.0)</f>
        <v>4</v>
      </c>
      <c r="D22" s="9">
        <f>IFERROR(__xludf.DUMMYFUNCTION("LET(
  h,'Respostas ao formulário 1'!$1:$1,
  d,'Respostas ao formulário 1'!$A$2:$ZZ998,
  pessoa,$A22,
  comp,D$1,
  padrao, pessoa &amp; ""( \([^)]*\))?.*\["" &amp; comp &amp; ""\]"",
  idx, FILTER(SEQUENCE(1,COLUMNS(h)), REGEXMATCH(h, padrao)),
  IFERROR( MEDIAN( "&amp;"TOCOL( CHOOSECOLS(d, idx ), 1 ) ), )
)"),4.0)</f>
        <v>4</v>
      </c>
      <c r="E22" s="9">
        <f>IFERROR(__xludf.DUMMYFUNCTION("LET(
  h,'Respostas ao formulário 1'!$1:$1,
  d,'Respostas ao formulário 1'!$A$2:$ZZ998,
  pessoa,$A22,
  comp,E$1,
  padrao, pessoa &amp; ""( \([^)]*\))?.*\["" &amp; comp &amp; ""\]"",
  idx, FILTER(SEQUENCE(1,COLUMNS(h)), REGEXMATCH(h, padrao)),
  IFERROR( MEDIAN( "&amp;"TOCOL( CHOOSECOLS(d, idx ), 1 ) ), )
)"),2.0)</f>
        <v>2</v>
      </c>
      <c r="F22" s="9">
        <f>IFERROR(__xludf.DUMMYFUNCTION("LET(
  h,'Respostas ao formulário 1'!$1:$1,
  d,'Respostas ao formulário 1'!$A$2:$ZZ998,
  pessoa,$A22,
  comp,F$1,
  padrao, pessoa &amp; ""( \([^)]*\))?.*\["" &amp; comp &amp; ""\]"",
  idx, FILTER(SEQUENCE(1,COLUMNS(h)), REGEXMATCH(h, padrao)),
  IFERROR( MEDIAN( "&amp;"TOCOL( CHOOSECOLS(d, idx ), 1 ) ), )
)"),3.0)</f>
        <v>3</v>
      </c>
      <c r="G22" s="9">
        <f>IFERROR(__xludf.DUMMYFUNCTION("LET(
  h,'Respostas ao formulário 1'!$1:$1,
  d,'Respostas ao formulário 1'!$A$2:$ZZ998,
  pessoa,$A22,
  comp,G$1,
  padrao, pessoa &amp; ""( \([^)]*\))?.*\["" &amp; comp &amp; ""\]"",
  idx, FILTER(SEQUENCE(1,COLUMNS(h)), REGEXMATCH(h, padrao)),
  IFERROR( MEDIAN( "&amp;"TOCOL( CHOOSECOLS(d, idx ), 1 ) ), )
)"),4.0)</f>
        <v>4</v>
      </c>
      <c r="H22" s="9">
        <f>IFERROR(__xludf.DUMMYFUNCTION("LET(
  h,'Respostas ao formulário 1'!$1:$1,
  d,'Respostas ao formulário 1'!$A$2:$ZZ998,
  pessoa,$A22,
  comp,H$1,
  padrao, pessoa &amp; ""( \([^)]*\))?.*\["" &amp; comp &amp; ""\]"",
  idx, FILTER(SEQUENCE(1,COLUMNS(h)), REGEXMATCH(h, padrao)),
  IFERROR( MEDIAN( "&amp;"TOCOL( CHOOSECOLS(d, idx ), 1 ) ), )
)"),3.0)</f>
        <v>3</v>
      </c>
      <c r="I22" s="9">
        <f>IFERROR(__xludf.DUMMYFUNCTION("LET(
  h,'Respostas ao formulário 1'!$1:$1,
  d,'Respostas ao formulário 1'!$A$2:$ZZ998,
  pessoa,$A22,
  comp,I$1,
  padrao, pessoa &amp; ""( \([^)]*\))?.*\["" &amp; comp &amp; ""\]"",
  idx, FILTER(SEQUENCE(1,COLUMNS(h)), REGEXMATCH(h, padrao)),
  IFERROR( MEDIAN( "&amp;"TOCOL( CHOOSECOLS(d, idx ), 1 ) ), )
)"),3.0)</f>
        <v>3</v>
      </c>
      <c r="J22" s="9">
        <f>IFERROR(__xludf.DUMMYFUNCTION("LET(
  h,'Respostas ao formulário 1'!$1:$1,
  d,'Respostas ao formulário 1'!$A$2:$ZZ998,
  pessoa,$A22,
  comp,J$1,
  padrao, pessoa &amp; ""( \([^)]*\))?.*\["" &amp; comp &amp; ""\]"",
  idx, FILTER(SEQUENCE(1,COLUMNS(h)), REGEXMATCH(h, padrao)),
  IFERROR( MEDIAN( "&amp;"TOCOL( CHOOSECOLS(d, idx ), 1 ) ), )
)"),4.0)</f>
        <v>4</v>
      </c>
      <c r="K22" s="9">
        <f>IFERROR(__xludf.DUMMYFUNCTION("LET(
  h,'Respostas ao formulário 1'!$1:$1,
  d,'Respostas ao formulário 1'!$A$2:$ZZ998,
  pessoa,$A22,
  comp,K$1,
  padrao, pessoa &amp; ""( \([^)]*\))?.*\["" &amp; comp &amp; ""\]"",
  idx, FILTER(SEQUENCE(1,COLUMNS(h)), REGEXMATCH(h, padrao)),
  IFERROR( MEDIAN( "&amp;"TOCOL( CHOOSECOLS(d, idx ), 1 ) ), )
)"),3.0)</f>
        <v>3</v>
      </c>
      <c r="L22" s="9">
        <f>IFERROR(__xludf.DUMMYFUNCTION("LET(
  h,'Respostas ao formulário 1'!$1:$1,
  d,'Respostas ao formulário 1'!$A$2:$ZZ998,
  pessoa,$A22,
  comp,L$1,
  padrao, pessoa &amp; ""( \([^)]*\))?.*\["" &amp; comp &amp; ""\]"",
  idx, FILTER(SEQUENCE(1,COLUMNS(h)), REGEXMATCH(h, padrao)),
  IFERROR( MEDIAN( "&amp;"TOCOL( CHOOSECOLS(d, idx ), 1 ) ), )
)"),4.0)</f>
        <v>4</v>
      </c>
      <c r="M22" s="10">
        <f t="shared" si="1"/>
        <v>3.363636364</v>
      </c>
    </row>
    <row r="23">
      <c r="A23" s="8" t="s">
        <v>640</v>
      </c>
      <c r="B23" s="9">
        <f>IFERROR(__xludf.DUMMYFUNCTION("LET(
  h,'Respostas ao formulário 1'!$1:$1,
  d,'Respostas ao formulário 1'!$A$2:$ZZ998,
  pessoa,$A23,
  comp,B$1,
  padrao, pessoa &amp; ""( \([^)]*\))?.*\["" &amp; comp &amp; ""\]"",
  idx, FILTER(SEQUENCE(1,COLUMNS(h)), REGEXMATCH(h, padrao)),
  IFERROR( MEDIAN( "&amp;"TOCOL( CHOOSECOLS(d, idx ), 1 ) ), )
)"),3.0)</f>
        <v>3</v>
      </c>
      <c r="C23" s="9">
        <f>IFERROR(__xludf.DUMMYFUNCTION("LET(
  h,'Respostas ao formulário 1'!$1:$1,
  d,'Respostas ao formulário 1'!$A$2:$ZZ998,
  pessoa,$A23,
  comp,C$1,
  padrao, pessoa &amp; ""( \([^)]*\))?.*\["" &amp; comp &amp; ""\]"",
  idx, FILTER(SEQUENCE(1,COLUMNS(h)), REGEXMATCH(h, padrao)),
  IFERROR( MEDIAN( "&amp;"TOCOL( CHOOSECOLS(d, idx ), 1 ) ), )
)"),4.0)</f>
        <v>4</v>
      </c>
      <c r="D23" s="9">
        <f>IFERROR(__xludf.DUMMYFUNCTION("LET(
  h,'Respostas ao formulário 1'!$1:$1,
  d,'Respostas ao formulário 1'!$A$2:$ZZ998,
  pessoa,$A23,
  comp,D$1,
  padrao, pessoa &amp; ""( \([^)]*\))?.*\["" &amp; comp &amp; ""\]"",
  idx, FILTER(SEQUENCE(1,COLUMNS(h)), REGEXMATCH(h, padrao)),
  IFERROR( MEDIAN( "&amp;"TOCOL( CHOOSECOLS(d, idx ), 1 ) ), )
)"),3.0)</f>
        <v>3</v>
      </c>
      <c r="E23" s="9">
        <f>IFERROR(__xludf.DUMMYFUNCTION("LET(
  h,'Respostas ao formulário 1'!$1:$1,
  d,'Respostas ao formulário 1'!$A$2:$ZZ998,
  pessoa,$A23,
  comp,E$1,
  padrao, pessoa &amp; ""( \([^)]*\))?.*\["" &amp; comp &amp; ""\]"",
  idx, FILTER(SEQUENCE(1,COLUMNS(h)), REGEXMATCH(h, padrao)),
  IFERROR( MEDIAN( "&amp;"TOCOL( CHOOSECOLS(d, idx ), 1 ) ), )
)"),1.0)</f>
        <v>1</v>
      </c>
      <c r="F23" s="9">
        <f>IFERROR(__xludf.DUMMYFUNCTION("LET(
  h,'Respostas ao formulário 1'!$1:$1,
  d,'Respostas ao formulário 1'!$A$2:$ZZ998,
  pessoa,$A23,
  comp,F$1,
  padrao, pessoa &amp; ""( \([^)]*\))?.*\["" &amp; comp &amp; ""\]"",
  idx, FILTER(SEQUENCE(1,COLUMNS(h)), REGEXMATCH(h, padrao)),
  IFERROR( MEDIAN( "&amp;"TOCOL( CHOOSECOLS(d, idx ), 1 ) ), )
)"),4.0)</f>
        <v>4</v>
      </c>
      <c r="G23" s="9">
        <f>IFERROR(__xludf.DUMMYFUNCTION("LET(
  h,'Respostas ao formulário 1'!$1:$1,
  d,'Respostas ao formulário 1'!$A$2:$ZZ998,
  pessoa,$A23,
  comp,G$1,
  padrao, pessoa &amp; ""( \([^)]*\))?.*\["" &amp; comp &amp; ""\]"",
  idx, FILTER(SEQUENCE(1,COLUMNS(h)), REGEXMATCH(h, padrao)),
  IFERROR( MEDIAN( "&amp;"TOCOL( CHOOSECOLS(d, idx ), 1 ) ), )
)"),3.0)</f>
        <v>3</v>
      </c>
      <c r="H23" s="9">
        <f>IFERROR(__xludf.DUMMYFUNCTION("LET(
  h,'Respostas ao formulário 1'!$1:$1,
  d,'Respostas ao formulário 1'!$A$2:$ZZ998,
  pessoa,$A23,
  comp,H$1,
  padrao, pessoa &amp; ""( \([^)]*\))?.*\["" &amp; comp &amp; ""\]"",
  idx, FILTER(SEQUENCE(1,COLUMNS(h)), REGEXMATCH(h, padrao)),
  IFERROR( MEDIAN( "&amp;"TOCOL( CHOOSECOLS(d, idx ), 1 ) ), )
)"),3.0)</f>
        <v>3</v>
      </c>
      <c r="I23" s="9">
        <f>IFERROR(__xludf.DUMMYFUNCTION("LET(
  h,'Respostas ao formulário 1'!$1:$1,
  d,'Respostas ao formulário 1'!$A$2:$ZZ998,
  pessoa,$A23,
  comp,I$1,
  padrao, pessoa &amp; ""( \([^)]*\))?.*\["" &amp; comp &amp; ""\]"",
  idx, FILTER(SEQUENCE(1,COLUMNS(h)), REGEXMATCH(h, padrao)),
  IFERROR( MEDIAN( "&amp;"TOCOL( CHOOSECOLS(d, idx ), 1 ) ), )
)"),4.0)</f>
        <v>4</v>
      </c>
      <c r="J23" s="9">
        <f>IFERROR(__xludf.DUMMYFUNCTION("LET(
  h,'Respostas ao formulário 1'!$1:$1,
  d,'Respostas ao formulário 1'!$A$2:$ZZ998,
  pessoa,$A23,
  comp,J$1,
  padrao, pessoa &amp; ""( \([^)]*\))?.*\["" &amp; comp &amp; ""\]"",
  idx, FILTER(SEQUENCE(1,COLUMNS(h)), REGEXMATCH(h, padrao)),
  IFERROR( MEDIAN( "&amp;"TOCOL( CHOOSECOLS(d, idx ), 1 ) ), )
)"),2.0)</f>
        <v>2</v>
      </c>
      <c r="K23" s="9">
        <f>IFERROR(__xludf.DUMMYFUNCTION("LET(
  h,'Respostas ao formulário 1'!$1:$1,
  d,'Respostas ao formulário 1'!$A$2:$ZZ998,
  pessoa,$A23,
  comp,K$1,
  padrao, pessoa &amp; ""( \([^)]*\))?.*\["" &amp; comp &amp; ""\]"",
  idx, FILTER(SEQUENCE(1,COLUMNS(h)), REGEXMATCH(h, padrao)),
  IFERROR( MEDIAN( "&amp;"TOCOL( CHOOSECOLS(d, idx ), 1 ) ), )
)"),4.0)</f>
        <v>4</v>
      </c>
      <c r="L23" s="9">
        <f>IFERROR(__xludf.DUMMYFUNCTION("LET(
  h,'Respostas ao formulário 1'!$1:$1,
  d,'Respostas ao formulário 1'!$A$2:$ZZ998,
  pessoa,$A23,
  comp,L$1,
  padrao, pessoa &amp; ""( \([^)]*\))?.*\["" &amp; comp &amp; ""\]"",
  idx, FILTER(SEQUENCE(1,COLUMNS(h)), REGEXMATCH(h, padrao)),
  IFERROR( MEDIAN( "&amp;"TOCOL( CHOOSECOLS(d, idx ), 1 ) ), )
)"),3.0)</f>
        <v>3</v>
      </c>
      <c r="M23" s="10">
        <f t="shared" si="1"/>
        <v>3.090909091</v>
      </c>
    </row>
    <row r="24">
      <c r="A24" s="8" t="s">
        <v>641</v>
      </c>
      <c r="B24" s="9">
        <f>IFERROR(__xludf.DUMMYFUNCTION("LET(
  h,'Respostas ao formulário 1'!$1:$1,
  d,'Respostas ao formulário 1'!$A$2:$ZZ998,
  pessoa,$A24,
  comp,B$1,
  padrao, pessoa &amp; ""( \([^)]*\))?.*\["" &amp; comp &amp; ""\]"",
  idx, FILTER(SEQUENCE(1,COLUMNS(h)), REGEXMATCH(h, padrao)),
  IFERROR( MEDIAN( "&amp;"TOCOL( CHOOSECOLS(d, idx ), 1 ) ), )
)"),3.0)</f>
        <v>3</v>
      </c>
      <c r="C24" s="9">
        <f>IFERROR(__xludf.DUMMYFUNCTION("LET(
  h,'Respostas ao formulário 1'!$1:$1,
  d,'Respostas ao formulário 1'!$A$2:$ZZ998,
  pessoa,$A24,
  comp,C$1,
  padrao, pessoa &amp; ""( \([^)]*\))?.*\["" &amp; comp &amp; ""\]"",
  idx, FILTER(SEQUENCE(1,COLUMNS(h)), REGEXMATCH(h, padrao)),
  IFERROR( MEDIAN( "&amp;"TOCOL( CHOOSECOLS(d, idx ), 1 ) ), )
)"),2.0)</f>
        <v>2</v>
      </c>
      <c r="D24" s="9">
        <f>IFERROR(__xludf.DUMMYFUNCTION("LET(
  h,'Respostas ao formulário 1'!$1:$1,
  d,'Respostas ao formulário 1'!$A$2:$ZZ998,
  pessoa,$A24,
  comp,D$1,
  padrao, pessoa &amp; ""( \([^)]*\))?.*\["" &amp; comp &amp; ""\]"",
  idx, FILTER(SEQUENCE(1,COLUMNS(h)), REGEXMATCH(h, padrao)),
  IFERROR( MEDIAN( "&amp;"TOCOL( CHOOSECOLS(d, idx ), 1 ) ), )
)"),3.0)</f>
        <v>3</v>
      </c>
      <c r="E24" s="9">
        <f>IFERROR(__xludf.DUMMYFUNCTION("LET(
  h,'Respostas ao formulário 1'!$1:$1,
  d,'Respostas ao formulário 1'!$A$2:$ZZ998,
  pessoa,$A24,
  comp,E$1,
  padrao, pessoa &amp; ""( \([^)]*\))?.*\["" &amp; comp &amp; ""\]"",
  idx, FILTER(SEQUENCE(1,COLUMNS(h)), REGEXMATCH(h, padrao)),
  IFERROR( MEDIAN( "&amp;"TOCOL( CHOOSECOLS(d, idx ), 1 ) ), )
)"),3.0)</f>
        <v>3</v>
      </c>
      <c r="F24" s="9">
        <f>IFERROR(__xludf.DUMMYFUNCTION("LET(
  h,'Respostas ao formulário 1'!$1:$1,
  d,'Respostas ao formulário 1'!$A$2:$ZZ998,
  pessoa,$A24,
  comp,F$1,
  padrao, pessoa &amp; ""( \([^)]*\))?.*\["" &amp; comp &amp; ""\]"",
  idx, FILTER(SEQUENCE(1,COLUMNS(h)), REGEXMATCH(h, padrao)),
  IFERROR( MEDIAN( "&amp;"TOCOL( CHOOSECOLS(d, idx ), 1 ) ), )
)"),2.0)</f>
        <v>2</v>
      </c>
      <c r="G24" s="9">
        <f>IFERROR(__xludf.DUMMYFUNCTION("LET(
  h,'Respostas ao formulário 1'!$1:$1,
  d,'Respostas ao formulário 1'!$A$2:$ZZ998,
  pessoa,$A24,
  comp,G$1,
  padrao, pessoa &amp; ""( \([^)]*\))?.*\["" &amp; comp &amp; ""\]"",
  idx, FILTER(SEQUENCE(1,COLUMNS(h)), REGEXMATCH(h, padrao)),
  IFERROR( MEDIAN( "&amp;"TOCOL( CHOOSECOLS(d, idx ), 1 ) ), )
)"),3.0)</f>
        <v>3</v>
      </c>
      <c r="H24" s="9">
        <f>IFERROR(__xludf.DUMMYFUNCTION("LET(
  h,'Respostas ao formulário 1'!$1:$1,
  d,'Respostas ao formulário 1'!$A$2:$ZZ998,
  pessoa,$A24,
  comp,H$1,
  padrao, pessoa &amp; ""( \([^)]*\))?.*\["" &amp; comp &amp; ""\]"",
  idx, FILTER(SEQUENCE(1,COLUMNS(h)), REGEXMATCH(h, padrao)),
  IFERROR( MEDIAN( "&amp;"TOCOL( CHOOSECOLS(d, idx ), 1 ) ), )
)"),3.0)</f>
        <v>3</v>
      </c>
      <c r="I24" s="9">
        <f>IFERROR(__xludf.DUMMYFUNCTION("LET(
  h,'Respostas ao formulário 1'!$1:$1,
  d,'Respostas ao formulário 1'!$A$2:$ZZ998,
  pessoa,$A24,
  comp,I$1,
  padrao, pessoa &amp; ""( \([^)]*\))?.*\["" &amp; comp &amp; ""\]"",
  idx, FILTER(SEQUENCE(1,COLUMNS(h)), REGEXMATCH(h, padrao)),
  IFERROR( MEDIAN( "&amp;"TOCOL( CHOOSECOLS(d, idx ), 1 ) ), )
)"),3.0)</f>
        <v>3</v>
      </c>
      <c r="J24" s="9">
        <f>IFERROR(__xludf.DUMMYFUNCTION("LET(
  h,'Respostas ao formulário 1'!$1:$1,
  d,'Respostas ao formulário 1'!$A$2:$ZZ998,
  pessoa,$A24,
  comp,J$1,
  padrao, pessoa &amp; ""( \([^)]*\))?.*\["" &amp; comp &amp; ""\]"",
  idx, FILTER(SEQUENCE(1,COLUMNS(h)), REGEXMATCH(h, padrao)),
  IFERROR( MEDIAN( "&amp;"TOCOL( CHOOSECOLS(d, idx ), 1 ) ), )
)"),3.0)</f>
        <v>3</v>
      </c>
      <c r="K24" s="9">
        <f>IFERROR(__xludf.DUMMYFUNCTION("LET(
  h,'Respostas ao formulário 1'!$1:$1,
  d,'Respostas ao formulário 1'!$A$2:$ZZ998,
  pessoa,$A24,
  comp,K$1,
  padrao, pessoa &amp; ""( \([^)]*\))?.*\["" &amp; comp &amp; ""\]"",
  idx, FILTER(SEQUENCE(1,COLUMNS(h)), REGEXMATCH(h, padrao)),
  IFERROR( MEDIAN( "&amp;"TOCOL( CHOOSECOLS(d, idx ), 1 ) ), )
)"),2.0)</f>
        <v>2</v>
      </c>
      <c r="L24" s="9">
        <f>IFERROR(__xludf.DUMMYFUNCTION("LET(
  h,'Respostas ao formulário 1'!$1:$1,
  d,'Respostas ao formulário 1'!$A$2:$ZZ998,
  pessoa,$A24,
  comp,L$1,
  padrao, pessoa &amp; ""( \([^)]*\))?.*\["" &amp; comp &amp; ""\]"",
  idx, FILTER(SEQUENCE(1,COLUMNS(h)), REGEXMATCH(h, padrao)),
  IFERROR( MEDIAN( "&amp;"TOCOL( CHOOSECOLS(d, idx ), 1 ) ), )
)"),4.0)</f>
        <v>4</v>
      </c>
      <c r="M24" s="10">
        <f t="shared" si="1"/>
        <v>2.818181818</v>
      </c>
    </row>
    <row r="25">
      <c r="A25" s="8" t="s">
        <v>642</v>
      </c>
      <c r="B25" s="9">
        <f>IFERROR(__xludf.DUMMYFUNCTION("LET(
  h,'Respostas ao formulário 1'!$1:$1,
  d,'Respostas ao formulário 1'!$A$2:$ZZ998,
  pessoa,$A25,
  comp,B$1,
  padrao, pessoa &amp; ""( \([^)]*\))?.*\["" &amp; comp &amp; ""\]"",
  idx, FILTER(SEQUENCE(1,COLUMNS(h)), REGEXMATCH(h, padrao)),
  IFERROR( MEDIAN( "&amp;"TOCOL( CHOOSECOLS(d, idx ), 1 ) ), )
)"),4.0)</f>
        <v>4</v>
      </c>
      <c r="C25" s="9">
        <f>IFERROR(__xludf.DUMMYFUNCTION("LET(
  h,'Respostas ao formulário 1'!$1:$1,
  d,'Respostas ao formulário 1'!$A$2:$ZZ998,
  pessoa,$A25,
  comp,C$1,
  padrao, pessoa &amp; ""( \([^)]*\))?.*\["" &amp; comp &amp; ""\]"",
  idx, FILTER(SEQUENCE(1,COLUMNS(h)), REGEXMATCH(h, padrao)),
  IFERROR( MEDIAN( "&amp;"TOCOL( CHOOSECOLS(d, idx ), 1 ) ), )
)"),3.0)</f>
        <v>3</v>
      </c>
      <c r="D25" s="9">
        <f>IFERROR(__xludf.DUMMYFUNCTION("LET(
  h,'Respostas ao formulário 1'!$1:$1,
  d,'Respostas ao formulário 1'!$A$2:$ZZ998,
  pessoa,$A25,
  comp,D$1,
  padrao, pessoa &amp; ""( \([^)]*\))?.*\["" &amp; comp &amp; ""\]"",
  idx, FILTER(SEQUENCE(1,COLUMNS(h)), REGEXMATCH(h, padrao)),
  IFERROR( MEDIAN( "&amp;"TOCOL( CHOOSECOLS(d, idx ), 1 ) ), )
)"),4.0)</f>
        <v>4</v>
      </c>
      <c r="E25" s="9">
        <f>IFERROR(__xludf.DUMMYFUNCTION("LET(
  h,'Respostas ao formulário 1'!$1:$1,
  d,'Respostas ao formulário 1'!$A$2:$ZZ998,
  pessoa,$A25,
  comp,E$1,
  padrao, pessoa &amp; ""( \([^)]*\))?.*\["" &amp; comp &amp; ""\]"",
  idx, FILTER(SEQUENCE(1,COLUMNS(h)), REGEXMATCH(h, padrao)),
  IFERROR( MEDIAN( "&amp;"TOCOL( CHOOSECOLS(d, idx ), 1 ) ), )
)"),3.0)</f>
        <v>3</v>
      </c>
      <c r="F25" s="9">
        <f>IFERROR(__xludf.DUMMYFUNCTION("LET(
  h,'Respostas ao formulário 1'!$1:$1,
  d,'Respostas ao formulário 1'!$A$2:$ZZ998,
  pessoa,$A25,
  comp,F$1,
  padrao, pessoa &amp; ""( \([^)]*\))?.*\["" &amp; comp &amp; ""\]"",
  idx, FILTER(SEQUENCE(1,COLUMNS(h)), REGEXMATCH(h, padrao)),
  IFERROR( MEDIAN( "&amp;"TOCOL( CHOOSECOLS(d, idx ), 1 ) ), )
)"),4.0)</f>
        <v>4</v>
      </c>
      <c r="G25" s="9">
        <f>IFERROR(__xludf.DUMMYFUNCTION("LET(
  h,'Respostas ao formulário 1'!$1:$1,
  d,'Respostas ao formulário 1'!$A$2:$ZZ998,
  pessoa,$A25,
  comp,G$1,
  padrao, pessoa &amp; ""( \([^)]*\))?.*\["" &amp; comp &amp; ""\]"",
  idx, FILTER(SEQUENCE(1,COLUMNS(h)), REGEXMATCH(h, padrao)),
  IFERROR( MEDIAN( "&amp;"TOCOL( CHOOSECOLS(d, idx ), 1 ) ), )
)"),3.0)</f>
        <v>3</v>
      </c>
      <c r="H25" s="9">
        <f>IFERROR(__xludf.DUMMYFUNCTION("LET(
  h,'Respostas ao formulário 1'!$1:$1,
  d,'Respostas ao formulário 1'!$A$2:$ZZ998,
  pessoa,$A25,
  comp,H$1,
  padrao, pessoa &amp; ""( \([^)]*\))?.*\["" &amp; comp &amp; ""\]"",
  idx, FILTER(SEQUENCE(1,COLUMNS(h)), REGEXMATCH(h, padrao)),
  IFERROR( MEDIAN( "&amp;"TOCOL( CHOOSECOLS(d, idx ), 1 ) ), )
)"),4.0)</f>
        <v>4</v>
      </c>
      <c r="I25" s="9">
        <f>IFERROR(__xludf.DUMMYFUNCTION("LET(
  h,'Respostas ao formulário 1'!$1:$1,
  d,'Respostas ao formulário 1'!$A$2:$ZZ998,
  pessoa,$A25,
  comp,I$1,
  padrao, pessoa &amp; ""( \([^)]*\))?.*\["" &amp; comp &amp; ""\]"",
  idx, FILTER(SEQUENCE(1,COLUMNS(h)), REGEXMATCH(h, padrao)),
  IFERROR( MEDIAN( "&amp;"TOCOL( CHOOSECOLS(d, idx ), 1 ) ), )
)"),3.0)</f>
        <v>3</v>
      </c>
      <c r="J25" s="9">
        <f>IFERROR(__xludf.DUMMYFUNCTION("LET(
  h,'Respostas ao formulário 1'!$1:$1,
  d,'Respostas ao formulário 1'!$A$2:$ZZ998,
  pessoa,$A25,
  comp,J$1,
  padrao, pessoa &amp; ""( \([^)]*\))?.*\["" &amp; comp &amp; ""\]"",
  idx, FILTER(SEQUENCE(1,COLUMNS(h)), REGEXMATCH(h, padrao)),
  IFERROR( MEDIAN( "&amp;"TOCOL( CHOOSECOLS(d, idx ), 1 ) ), )
)"),3.0)</f>
        <v>3</v>
      </c>
      <c r="K25" s="9">
        <f>IFERROR(__xludf.DUMMYFUNCTION("LET(
  h,'Respostas ao formulário 1'!$1:$1,
  d,'Respostas ao formulário 1'!$A$2:$ZZ998,
  pessoa,$A25,
  comp,K$1,
  padrao, pessoa &amp; ""( \([^)]*\))?.*\["" &amp; comp &amp; ""\]"",
  idx, FILTER(SEQUENCE(1,COLUMNS(h)), REGEXMATCH(h, padrao)),
  IFERROR( MEDIAN( "&amp;"TOCOL( CHOOSECOLS(d, idx ), 1 ) ), )
)"),3.0)</f>
        <v>3</v>
      </c>
      <c r="L25" s="9">
        <f>IFERROR(__xludf.DUMMYFUNCTION("LET(
  h,'Respostas ao formulário 1'!$1:$1,
  d,'Respostas ao formulário 1'!$A$2:$ZZ998,
  pessoa,$A25,
  comp,L$1,
  padrao, pessoa &amp; ""( \([^)]*\))?.*\["" &amp; comp &amp; ""\]"",
  idx, FILTER(SEQUENCE(1,COLUMNS(h)), REGEXMATCH(h, padrao)),
  IFERROR( MEDIAN( "&amp;"TOCOL( CHOOSECOLS(d, idx ), 1 ) ), )
)"),3.0)</f>
        <v>3</v>
      </c>
      <c r="M25" s="10">
        <f t="shared" si="1"/>
        <v>3.363636364</v>
      </c>
    </row>
    <row r="26">
      <c r="A26" s="8" t="s">
        <v>643</v>
      </c>
      <c r="B26" s="9">
        <f>IFERROR(__xludf.DUMMYFUNCTION("LET(
  h,'Respostas ao formulário 1'!$1:$1,
  d,'Respostas ao formulário 1'!$A$2:$ZZ998,
  pessoa,$A26,
  comp,B$1,
  padrao, pessoa &amp; ""( \([^)]*\))?.*\["" &amp; comp &amp; ""\]"",
  idx, FILTER(SEQUENCE(1,COLUMNS(h)), REGEXMATCH(h, padrao)),
  IFERROR( MEDIAN( "&amp;"TOCOL( CHOOSECOLS(d, idx ), 1 ) ), )
)"),4.0)</f>
        <v>4</v>
      </c>
      <c r="C26" s="9">
        <f>IFERROR(__xludf.DUMMYFUNCTION("LET(
  h,'Respostas ao formulário 1'!$1:$1,
  d,'Respostas ao formulário 1'!$A$2:$ZZ998,
  pessoa,$A26,
  comp,C$1,
  padrao, pessoa &amp; ""( \([^)]*\))?.*\["" &amp; comp &amp; ""\]"",
  idx, FILTER(SEQUENCE(1,COLUMNS(h)), REGEXMATCH(h, padrao)),
  IFERROR( MEDIAN( "&amp;"TOCOL( CHOOSECOLS(d, idx ), 1 ) ), )
)"),3.0)</f>
        <v>3</v>
      </c>
      <c r="D26" s="9">
        <f>IFERROR(__xludf.DUMMYFUNCTION("LET(
  h,'Respostas ao formulário 1'!$1:$1,
  d,'Respostas ao formulário 1'!$A$2:$ZZ998,
  pessoa,$A26,
  comp,D$1,
  padrao, pessoa &amp; ""( \([^)]*\))?.*\["" &amp; comp &amp; ""\]"",
  idx, FILTER(SEQUENCE(1,COLUMNS(h)), REGEXMATCH(h, padrao)),
  IFERROR( MEDIAN( "&amp;"TOCOL( CHOOSECOLS(d, idx ), 1 ) ), )
)"),4.0)</f>
        <v>4</v>
      </c>
      <c r="E26" s="9">
        <f>IFERROR(__xludf.DUMMYFUNCTION("LET(
  h,'Respostas ao formulário 1'!$1:$1,
  d,'Respostas ao formulário 1'!$A$2:$ZZ998,
  pessoa,$A26,
  comp,E$1,
  padrao, pessoa &amp; ""( \([^)]*\))?.*\["" &amp; comp &amp; ""\]"",
  idx, FILTER(SEQUENCE(1,COLUMNS(h)), REGEXMATCH(h, padrao)),
  IFERROR( MEDIAN( "&amp;"TOCOL( CHOOSECOLS(d, idx ), 1 ) ), )
)"),3.0)</f>
        <v>3</v>
      </c>
      <c r="F26" s="9">
        <f>IFERROR(__xludf.DUMMYFUNCTION("LET(
  h,'Respostas ao formulário 1'!$1:$1,
  d,'Respostas ao formulário 1'!$A$2:$ZZ998,
  pessoa,$A26,
  comp,F$1,
  padrao, pessoa &amp; ""( \([^)]*\))?.*\["" &amp; comp &amp; ""\]"",
  idx, FILTER(SEQUENCE(1,COLUMNS(h)), REGEXMATCH(h, padrao)),
  IFERROR( MEDIAN( "&amp;"TOCOL( CHOOSECOLS(d, idx ), 1 ) ), )
)"),4.0)</f>
        <v>4</v>
      </c>
      <c r="G26" s="9">
        <f>IFERROR(__xludf.DUMMYFUNCTION("LET(
  h,'Respostas ao formulário 1'!$1:$1,
  d,'Respostas ao formulário 1'!$A$2:$ZZ998,
  pessoa,$A26,
  comp,G$1,
  padrao, pessoa &amp; ""( \([^)]*\))?.*\["" &amp; comp &amp; ""\]"",
  idx, FILTER(SEQUENCE(1,COLUMNS(h)), REGEXMATCH(h, padrao)),
  IFERROR( MEDIAN( "&amp;"TOCOL( CHOOSECOLS(d, idx ), 1 ) ), )
)"),3.0)</f>
        <v>3</v>
      </c>
      <c r="H26" s="9">
        <f>IFERROR(__xludf.DUMMYFUNCTION("LET(
  h,'Respostas ao formulário 1'!$1:$1,
  d,'Respostas ao formulário 1'!$A$2:$ZZ998,
  pessoa,$A26,
  comp,H$1,
  padrao, pessoa &amp; ""( \([^)]*\))?.*\["" &amp; comp &amp; ""\]"",
  idx, FILTER(SEQUENCE(1,COLUMNS(h)), REGEXMATCH(h, padrao)),
  IFERROR( MEDIAN( "&amp;"TOCOL( CHOOSECOLS(d, idx ), 1 ) ), )
)"),3.0)</f>
        <v>3</v>
      </c>
      <c r="I26" s="9">
        <f>IFERROR(__xludf.DUMMYFUNCTION("LET(
  h,'Respostas ao formulário 1'!$1:$1,
  d,'Respostas ao formulário 1'!$A$2:$ZZ998,
  pessoa,$A26,
  comp,I$1,
  padrao, pessoa &amp; ""( \([^)]*\))?.*\["" &amp; comp &amp; ""\]"",
  idx, FILTER(SEQUENCE(1,COLUMNS(h)), REGEXMATCH(h, padrao)),
  IFERROR( MEDIAN( "&amp;"TOCOL( CHOOSECOLS(d, idx ), 1 ) ), )
)"),3.0)</f>
        <v>3</v>
      </c>
      <c r="J26" s="9">
        <f>IFERROR(__xludf.DUMMYFUNCTION("LET(
  h,'Respostas ao formulário 1'!$1:$1,
  d,'Respostas ao formulário 1'!$A$2:$ZZ998,
  pessoa,$A26,
  comp,J$1,
  padrao, pessoa &amp; ""( \([^)]*\))?.*\["" &amp; comp &amp; ""\]"",
  idx, FILTER(SEQUENCE(1,COLUMNS(h)), REGEXMATCH(h, padrao)),
  IFERROR( MEDIAN( "&amp;"TOCOL( CHOOSECOLS(d, idx ), 1 ) ), )
)"),3.0)</f>
        <v>3</v>
      </c>
      <c r="K26" s="9">
        <f>IFERROR(__xludf.DUMMYFUNCTION("LET(
  h,'Respostas ao formulário 1'!$1:$1,
  d,'Respostas ao formulário 1'!$A$2:$ZZ998,
  pessoa,$A26,
  comp,K$1,
  padrao, pessoa &amp; ""( \([^)]*\))?.*\["" &amp; comp &amp; ""\]"",
  idx, FILTER(SEQUENCE(1,COLUMNS(h)), REGEXMATCH(h, padrao)),
  IFERROR( MEDIAN( "&amp;"TOCOL( CHOOSECOLS(d, idx ), 1 ) ), )
)"),3.0)</f>
        <v>3</v>
      </c>
      <c r="L26" s="9">
        <f>IFERROR(__xludf.DUMMYFUNCTION("LET(
  h,'Respostas ao formulário 1'!$1:$1,
  d,'Respostas ao formulário 1'!$A$2:$ZZ998,
  pessoa,$A26,
  comp,L$1,
  padrao, pessoa &amp; ""( \([^)]*\))?.*\["" &amp; comp &amp; ""\]"",
  idx, FILTER(SEQUENCE(1,COLUMNS(h)), REGEXMATCH(h, padrao)),
  IFERROR( MEDIAN( "&amp;"TOCOL( CHOOSECOLS(d, idx ), 1 ) ), )
)"),3.0)</f>
        <v>3</v>
      </c>
      <c r="M26" s="10">
        <f t="shared" si="1"/>
        <v>3.272727273</v>
      </c>
    </row>
    <row r="27">
      <c r="A27" s="8" t="s">
        <v>644</v>
      </c>
      <c r="B27" s="9" t="str">
        <f>IFERROR(__xludf.DUMMYFUNCTION("LET(
  h,'Respostas ao formulário 1'!$1:$1,
  d,'Respostas ao formulário 1'!$A$2:$ZZ998,
  pessoa,$A27,
  comp,B$1,
  padrao, pessoa &amp; ""( \([^)]*\))?.*\["" &amp; comp &amp; ""\]"",
  idx, FILTER(SEQUENCE(1,COLUMNS(h)), REGEXMATCH(h, padrao)),
  IFERROR( MEDIAN( "&amp;"TOCOL( CHOOSECOLS(d, idx ), 1 ) ), )
)"),"")</f>
        <v/>
      </c>
      <c r="C27" s="9" t="str">
        <f>IFERROR(__xludf.DUMMYFUNCTION("LET(
  h,'Respostas ao formulário 1'!$1:$1,
  d,'Respostas ao formulário 1'!$A$2:$ZZ998,
  pessoa,$A27,
  comp,C$1,
  padrao, pessoa &amp; ""( \([^)]*\))?.*\["" &amp; comp &amp; ""\]"",
  idx, FILTER(SEQUENCE(1,COLUMNS(h)), REGEXMATCH(h, padrao)),
  IFERROR( MEDIAN( "&amp;"TOCOL( CHOOSECOLS(d, idx ), 1 ) ), )
)"),"")</f>
        <v/>
      </c>
      <c r="D27" s="9" t="str">
        <f>IFERROR(__xludf.DUMMYFUNCTION("LET(
  h,'Respostas ao formulário 1'!$1:$1,
  d,'Respostas ao formulário 1'!$A$2:$ZZ998,
  pessoa,$A27,
  comp,D$1,
  padrao, pessoa &amp; ""( \([^)]*\))?.*\["" &amp; comp &amp; ""\]"",
  idx, FILTER(SEQUENCE(1,COLUMNS(h)), REGEXMATCH(h, padrao)),
  IFERROR( MEDIAN( "&amp;"TOCOL( CHOOSECOLS(d, idx ), 1 ) ), )
)"),"")</f>
        <v/>
      </c>
      <c r="E27" s="9" t="str">
        <f>IFERROR(__xludf.DUMMYFUNCTION("LET(
  h,'Respostas ao formulário 1'!$1:$1,
  d,'Respostas ao formulário 1'!$A$2:$ZZ998,
  pessoa,$A27,
  comp,E$1,
  padrao, pessoa &amp; ""( \([^)]*\))?.*\["" &amp; comp &amp; ""\]"",
  idx, FILTER(SEQUENCE(1,COLUMNS(h)), REGEXMATCH(h, padrao)),
  IFERROR( MEDIAN( "&amp;"TOCOL( CHOOSECOLS(d, idx ), 1 ) ), )
)"),"")</f>
        <v/>
      </c>
      <c r="F27" s="9" t="str">
        <f>IFERROR(__xludf.DUMMYFUNCTION("LET(
  h,'Respostas ao formulário 1'!$1:$1,
  d,'Respostas ao formulário 1'!$A$2:$ZZ998,
  pessoa,$A27,
  comp,F$1,
  padrao, pessoa &amp; ""( \([^)]*\))?.*\["" &amp; comp &amp; ""\]"",
  idx, FILTER(SEQUENCE(1,COLUMNS(h)), REGEXMATCH(h, padrao)),
  IFERROR( MEDIAN( "&amp;"TOCOL( CHOOSECOLS(d, idx ), 1 ) ), )
)"),"")</f>
        <v/>
      </c>
      <c r="G27" s="9" t="str">
        <f>IFERROR(__xludf.DUMMYFUNCTION("LET(
  h,'Respostas ao formulário 1'!$1:$1,
  d,'Respostas ao formulário 1'!$A$2:$ZZ998,
  pessoa,$A27,
  comp,G$1,
  padrao, pessoa &amp; ""( \([^)]*\))?.*\["" &amp; comp &amp; ""\]"",
  idx, FILTER(SEQUENCE(1,COLUMNS(h)), REGEXMATCH(h, padrao)),
  IFERROR( MEDIAN( "&amp;"TOCOL( CHOOSECOLS(d, idx ), 1 ) ), )
)"),"")</f>
        <v/>
      </c>
      <c r="H27" s="9" t="str">
        <f>IFERROR(__xludf.DUMMYFUNCTION("LET(
  h,'Respostas ao formulário 1'!$1:$1,
  d,'Respostas ao formulário 1'!$A$2:$ZZ998,
  pessoa,$A27,
  comp,H$1,
  padrao, pessoa &amp; ""( \([^)]*\))?.*\["" &amp; comp &amp; ""\]"",
  idx, FILTER(SEQUENCE(1,COLUMNS(h)), REGEXMATCH(h, padrao)),
  IFERROR( MEDIAN( "&amp;"TOCOL( CHOOSECOLS(d, idx ), 1 ) ), )
)"),"")</f>
        <v/>
      </c>
      <c r="I27" s="9" t="str">
        <f>IFERROR(__xludf.DUMMYFUNCTION("LET(
  h,'Respostas ao formulário 1'!$1:$1,
  d,'Respostas ao formulário 1'!$A$2:$ZZ998,
  pessoa,$A27,
  comp,I$1,
  padrao, pessoa &amp; ""( \([^)]*\))?.*\["" &amp; comp &amp; ""\]"",
  idx, FILTER(SEQUENCE(1,COLUMNS(h)), REGEXMATCH(h, padrao)),
  IFERROR( MEDIAN( "&amp;"TOCOL( CHOOSECOLS(d, idx ), 1 ) ), )
)"),"")</f>
        <v/>
      </c>
      <c r="J27" s="9" t="str">
        <f>IFERROR(__xludf.DUMMYFUNCTION("LET(
  h,'Respostas ao formulário 1'!$1:$1,
  d,'Respostas ao formulário 1'!$A$2:$ZZ998,
  pessoa,$A27,
  comp,J$1,
  padrao, pessoa &amp; ""( \([^)]*\))?.*\["" &amp; comp &amp; ""\]"",
  idx, FILTER(SEQUENCE(1,COLUMNS(h)), REGEXMATCH(h, padrao)),
  IFERROR( MEDIAN( "&amp;"TOCOL( CHOOSECOLS(d, idx ), 1 ) ), )
)"),"")</f>
        <v/>
      </c>
      <c r="K27" s="9" t="str">
        <f>IFERROR(__xludf.DUMMYFUNCTION("LET(
  h,'Respostas ao formulário 1'!$1:$1,
  d,'Respostas ao formulário 1'!$A$2:$ZZ998,
  pessoa,$A27,
  comp,K$1,
  padrao, pessoa &amp; ""( \([^)]*\))?.*\["" &amp; comp &amp; ""\]"",
  idx, FILTER(SEQUENCE(1,COLUMNS(h)), REGEXMATCH(h, padrao)),
  IFERROR( MEDIAN( "&amp;"TOCOL( CHOOSECOLS(d, idx ), 1 ) ), )
)"),"")</f>
        <v/>
      </c>
      <c r="L27" s="9" t="str">
        <f>IFERROR(__xludf.DUMMYFUNCTION("LET(
  h,'Respostas ao formulário 1'!$1:$1,
  d,'Respostas ao formulário 1'!$A$2:$ZZ998,
  pessoa,$A27,
  comp,L$1,
  padrao, pessoa &amp; ""( \([^)]*\))?.*\["" &amp; comp &amp; ""\]"",
  idx, FILTER(SEQUENCE(1,COLUMNS(h)), REGEXMATCH(h, padrao)),
  IFERROR( MEDIAN( "&amp;"TOCOL( CHOOSECOLS(d, idx ), 1 ) ), )
)"),"")</f>
        <v/>
      </c>
      <c r="M27" s="10" t="str">
        <f t="shared" si="1"/>
        <v>#DIV/0!</v>
      </c>
    </row>
    <row r="28">
      <c r="A28" s="8" t="s">
        <v>645</v>
      </c>
      <c r="B28" s="9">
        <f>IFERROR(__xludf.DUMMYFUNCTION("LET(
  h,'Respostas ao formulário 1'!$1:$1,
  d,'Respostas ao formulário 1'!$A$2:$ZZ998,
  pessoa,$A28,
  comp,B$1,
  padrao, pessoa &amp; ""( \([^)]*\))?.*\["" &amp; comp &amp; ""\]"",
  idx, FILTER(SEQUENCE(1,COLUMNS(h)), REGEXMATCH(h, padrao)),
  IFERROR( MEDIAN( "&amp;"TOCOL( CHOOSECOLS(d, idx ), 1 ) ), )
)"),3.0)</f>
        <v>3</v>
      </c>
      <c r="C28" s="9">
        <f>IFERROR(__xludf.DUMMYFUNCTION("LET(
  h,'Respostas ao formulário 1'!$1:$1,
  d,'Respostas ao formulário 1'!$A$2:$ZZ998,
  pessoa,$A28,
  comp,C$1,
  padrao, pessoa &amp; ""( \([^)]*\))?.*\["" &amp; comp &amp; ""\]"",
  idx, FILTER(SEQUENCE(1,COLUMNS(h)), REGEXMATCH(h, padrao)),
  IFERROR( MEDIAN( "&amp;"TOCOL( CHOOSECOLS(d, idx ), 1 ) ), )
)"),4.0)</f>
        <v>4</v>
      </c>
      <c r="D28" s="9">
        <f>IFERROR(__xludf.DUMMYFUNCTION("LET(
  h,'Respostas ao formulário 1'!$1:$1,
  d,'Respostas ao formulário 1'!$A$2:$ZZ998,
  pessoa,$A28,
  comp,D$1,
  padrao, pessoa &amp; ""( \([^)]*\))?.*\["" &amp; comp &amp; ""\]"",
  idx, FILTER(SEQUENCE(1,COLUMNS(h)), REGEXMATCH(h, padrao)),
  IFERROR( MEDIAN( "&amp;"TOCOL( CHOOSECOLS(d, idx ), 1 ) ), )
)"),3.0)</f>
        <v>3</v>
      </c>
      <c r="E28" s="9">
        <f>IFERROR(__xludf.DUMMYFUNCTION("LET(
  h,'Respostas ao formulário 1'!$1:$1,
  d,'Respostas ao formulário 1'!$A$2:$ZZ998,
  pessoa,$A28,
  comp,E$1,
  padrao, pessoa &amp; ""( \([^)]*\))?.*\["" &amp; comp &amp; ""\]"",
  idx, FILTER(SEQUENCE(1,COLUMNS(h)), REGEXMATCH(h, padrao)),
  IFERROR( MEDIAN( "&amp;"TOCOL( CHOOSECOLS(d, idx ), 1 ) ), )
)"),4.0)</f>
        <v>4</v>
      </c>
      <c r="F28" s="9">
        <f>IFERROR(__xludf.DUMMYFUNCTION("LET(
  h,'Respostas ao formulário 1'!$1:$1,
  d,'Respostas ao formulário 1'!$A$2:$ZZ998,
  pessoa,$A28,
  comp,F$1,
  padrao, pessoa &amp; ""( \([^)]*\))?.*\["" &amp; comp &amp; ""\]"",
  idx, FILTER(SEQUENCE(1,COLUMNS(h)), REGEXMATCH(h, padrao)),
  IFERROR( MEDIAN( "&amp;"TOCOL( CHOOSECOLS(d, idx ), 1 ) ), )
)"),2.0)</f>
        <v>2</v>
      </c>
      <c r="G28" s="9">
        <f>IFERROR(__xludf.DUMMYFUNCTION("LET(
  h,'Respostas ao formulário 1'!$1:$1,
  d,'Respostas ao formulário 1'!$A$2:$ZZ998,
  pessoa,$A28,
  comp,G$1,
  padrao, pessoa &amp; ""( \([^)]*\))?.*\["" &amp; comp &amp; ""\]"",
  idx, FILTER(SEQUENCE(1,COLUMNS(h)), REGEXMATCH(h, padrao)),
  IFERROR( MEDIAN( "&amp;"TOCOL( CHOOSECOLS(d, idx ), 1 ) ), )
)"),3.0)</f>
        <v>3</v>
      </c>
      <c r="H28" s="9">
        <f>IFERROR(__xludf.DUMMYFUNCTION("LET(
  h,'Respostas ao formulário 1'!$1:$1,
  d,'Respostas ao formulário 1'!$A$2:$ZZ998,
  pessoa,$A28,
  comp,H$1,
  padrao, pessoa &amp; ""( \([^)]*\))?.*\["" &amp; comp &amp; ""\]"",
  idx, FILTER(SEQUENCE(1,COLUMNS(h)), REGEXMATCH(h, padrao)),
  IFERROR( MEDIAN( "&amp;"TOCOL( CHOOSECOLS(d, idx ), 1 ) ), )
)"),3.0)</f>
        <v>3</v>
      </c>
      <c r="I28" s="9">
        <f>IFERROR(__xludf.DUMMYFUNCTION("LET(
  h,'Respostas ao formulário 1'!$1:$1,
  d,'Respostas ao formulário 1'!$A$2:$ZZ998,
  pessoa,$A28,
  comp,I$1,
  padrao, pessoa &amp; ""( \([^)]*\))?.*\["" &amp; comp &amp; ""\]"",
  idx, FILTER(SEQUENCE(1,COLUMNS(h)), REGEXMATCH(h, padrao)),
  IFERROR( MEDIAN( "&amp;"TOCOL( CHOOSECOLS(d, idx ), 1 ) ), )
)"),4.0)</f>
        <v>4</v>
      </c>
      <c r="J28" s="9">
        <f>IFERROR(__xludf.DUMMYFUNCTION("LET(
  h,'Respostas ao formulário 1'!$1:$1,
  d,'Respostas ao formulário 1'!$A$2:$ZZ998,
  pessoa,$A28,
  comp,J$1,
  padrao, pessoa &amp; ""( \([^)]*\))?.*\["" &amp; comp &amp; ""\]"",
  idx, FILTER(SEQUENCE(1,COLUMNS(h)), REGEXMATCH(h, padrao)),
  IFERROR( MEDIAN( "&amp;"TOCOL( CHOOSECOLS(d, idx ), 1 ) ), )
)"),3.0)</f>
        <v>3</v>
      </c>
      <c r="K28" s="9">
        <f>IFERROR(__xludf.DUMMYFUNCTION("LET(
  h,'Respostas ao formulário 1'!$1:$1,
  d,'Respostas ao formulário 1'!$A$2:$ZZ998,
  pessoa,$A28,
  comp,K$1,
  padrao, pessoa &amp; ""( \([^)]*\))?.*\["" &amp; comp &amp; ""\]"",
  idx, FILTER(SEQUENCE(1,COLUMNS(h)), REGEXMATCH(h, padrao)),
  IFERROR( MEDIAN( "&amp;"TOCOL( CHOOSECOLS(d, idx ), 1 ) ), )
)"),3.0)</f>
        <v>3</v>
      </c>
      <c r="L28" s="9">
        <f>IFERROR(__xludf.DUMMYFUNCTION("LET(
  h,'Respostas ao formulário 1'!$1:$1,
  d,'Respostas ao formulário 1'!$A$2:$ZZ998,
  pessoa,$A28,
  comp,L$1,
  padrao, pessoa &amp; ""( \([^)]*\))?.*\["" &amp; comp &amp; ""\]"",
  idx, FILTER(SEQUENCE(1,COLUMNS(h)), REGEXMATCH(h, padrao)),
  IFERROR( MEDIAN( "&amp;"TOCOL( CHOOSECOLS(d, idx ), 1 ) ), )
)"),3.0)</f>
        <v>3</v>
      </c>
      <c r="M28" s="10">
        <f t="shared" si="1"/>
        <v>3.181818182</v>
      </c>
    </row>
  </sheetData>
  <conditionalFormatting sqref="B2:M28">
    <cfRule type="cellIs" dxfId="5" priority="1" operator="greaterThan">
      <formula>3</formula>
    </cfRule>
  </conditionalFormatting>
  <conditionalFormatting sqref="B2:M28">
    <cfRule type="cellIs" dxfId="6" priority="2" operator="lessThan">
      <formula>2</formula>
    </cfRule>
  </conditionalFormatting>
  <conditionalFormatting sqref="B2:M28">
    <cfRule type="cellIs" dxfId="7" priority="3" operator="between">
      <formula>2</formula>
      <formula>3</formula>
    </cfRule>
  </conditionalFormatting>
  <conditionalFormatting sqref="B2:M28">
    <cfRule type="containsBlanks" dxfId="8" priority="4">
      <formula>LEN(TRIM(B2))=0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8.38"/>
  </cols>
  <sheetData>
    <row r="1">
      <c r="B1" s="11" t="str">
        <f t="array" ref="B1:AB1">TRANSPOSE(Painel_Pessoas!A2:A28)</f>
        <v>Paulo André Cardoso</v>
      </c>
      <c r="C1" s="11" t="s">
        <v>620</v>
      </c>
      <c r="D1" s="11" t="s">
        <v>621</v>
      </c>
      <c r="E1" s="11" t="s">
        <v>622</v>
      </c>
      <c r="F1" s="11" t="s">
        <v>623</v>
      </c>
      <c r="G1" s="11" t="s">
        <v>624</v>
      </c>
      <c r="H1" s="11" t="s">
        <v>625</v>
      </c>
      <c r="I1" s="11" t="s">
        <v>626</v>
      </c>
      <c r="J1" s="11" t="s">
        <v>627</v>
      </c>
      <c r="K1" s="11" t="s">
        <v>628</v>
      </c>
      <c r="L1" s="11" t="s">
        <v>629</v>
      </c>
      <c r="M1" s="11" t="s">
        <v>630</v>
      </c>
      <c r="N1" s="11" t="s">
        <v>631</v>
      </c>
      <c r="O1" s="11" t="s">
        <v>632</v>
      </c>
      <c r="P1" s="11" t="s">
        <v>633</v>
      </c>
      <c r="Q1" s="11" t="s">
        <v>634</v>
      </c>
      <c r="R1" s="11" t="s">
        <v>635</v>
      </c>
      <c r="S1" s="11" t="s">
        <v>636</v>
      </c>
      <c r="T1" s="11" t="s">
        <v>637</v>
      </c>
      <c r="U1" s="11" t="s">
        <v>638</v>
      </c>
      <c r="V1" s="11" t="s">
        <v>639</v>
      </c>
      <c r="W1" s="11" t="s">
        <v>640</v>
      </c>
      <c r="X1" s="11" t="s">
        <v>641</v>
      </c>
      <c r="Y1" s="11" t="s">
        <v>642</v>
      </c>
      <c r="Z1" s="11" t="s">
        <v>643</v>
      </c>
      <c r="AA1" s="11" t="s">
        <v>644</v>
      </c>
      <c r="AB1" s="11" t="s">
        <v>645</v>
      </c>
      <c r="AC1" s="12" t="s">
        <v>646</v>
      </c>
    </row>
    <row r="2">
      <c r="A2" s="13" t="s">
        <v>558</v>
      </c>
      <c r="B2" s="9">
        <f>IFERROR(__xludf.DUMMYFUNCTION("LET(
  h,'Respostas ao formulário 1'!$1:$1,
  d,'Respostas ao formulário 1'!$A$2:$ZZ1000,
  proj,$A2,
  pessoa,B$1,
  padrao,""^""&amp;proj&amp;""\s*\|\s*""&amp;pessoa&amp;""\s*\([^)]*\)\s*\["",
  idx,FILTER(SEQUENCE(1,COLUMNS(h)),REGEXMATCH(h,padrao)),
  IFERROR(MEDIAN("&amp;"TOCOL(CHOOSECOLS(d,idx),1)),)
)"),3.0)</f>
        <v>3</v>
      </c>
      <c r="C2" s="9" t="str">
        <f>IFERROR(__xludf.DUMMYFUNCTION("LET(
  h,'Respostas ao formulário 1'!$1:$1,
  d,'Respostas ao formulário 1'!$A$2:$ZZ1000,
  proj,$A2,
  pessoa,C$1,
  padrao,""^""&amp;proj&amp;""\s*\|\s*""&amp;pessoa&amp;""\s*\([^)]*\)\s*\["",
  idx,FILTER(SEQUENCE(1,COLUMNS(h)),REGEXMATCH(h,padrao)),
  IFERROR(MEDIAN("&amp;"TOCOL(CHOOSECOLS(d,idx),1)),)
)"),"")</f>
        <v/>
      </c>
      <c r="D2" s="9" t="str">
        <f>IFERROR(__xludf.DUMMYFUNCTION("LET(
  h,'Respostas ao formulário 1'!$1:$1,
  d,'Respostas ao formulário 1'!$A$2:$ZZ1000,
  proj,$A2,
  pessoa,D$1,
  padrao,""^""&amp;proj&amp;""\s*\|\s*""&amp;pessoa&amp;""\s*\([^)]*\)\s*\["",
  idx,FILTER(SEQUENCE(1,COLUMNS(h)),REGEXMATCH(h,padrao)),
  IFERROR(MEDIAN("&amp;"TOCOL(CHOOSECOLS(d,idx),1)),)
)"),"")</f>
        <v/>
      </c>
      <c r="E2" s="9" t="str">
        <f>IFERROR(__xludf.DUMMYFUNCTION("LET(
  h,'Respostas ao formulário 1'!$1:$1,
  d,'Respostas ao formulário 1'!$A$2:$ZZ1000,
  proj,$A2,
  pessoa,E$1,
  padrao,""^""&amp;proj&amp;""\s*\|\s*""&amp;pessoa&amp;""\s*\([^)]*\)\s*\["",
  idx,FILTER(SEQUENCE(1,COLUMNS(h)),REGEXMATCH(h,padrao)),
  IFERROR(MEDIAN("&amp;"TOCOL(CHOOSECOLS(d,idx),1)),)
)"),"")</f>
        <v/>
      </c>
      <c r="F2" s="9">
        <f>IFERROR(__xludf.DUMMYFUNCTION("LET(
  h,'Respostas ao formulário 1'!$1:$1,
  d,'Respostas ao formulário 1'!$A$2:$ZZ1000,
  proj,$A2,
  pessoa,F$1,
  padrao,""^""&amp;proj&amp;""\s*\|\s*""&amp;pessoa&amp;""\s*\([^)]*\)\s*\["",
  idx,FILTER(SEQUENCE(1,COLUMNS(h)),REGEXMATCH(h,padrao)),
  IFERROR(MEDIAN("&amp;"TOCOL(CHOOSECOLS(d,idx),1)),)
)"),3.0)</f>
        <v>3</v>
      </c>
      <c r="G2" s="9" t="str">
        <f>IFERROR(__xludf.DUMMYFUNCTION("LET(
  h,'Respostas ao formulário 1'!$1:$1,
  d,'Respostas ao formulário 1'!$A$2:$ZZ1000,
  proj,$A2,
  pessoa,G$1,
  padrao,""^""&amp;proj&amp;""\s*\|\s*""&amp;pessoa&amp;""\s*\([^)]*\)\s*\["",
  idx,FILTER(SEQUENCE(1,COLUMNS(h)),REGEXMATCH(h,padrao)),
  IFERROR(MEDIAN("&amp;"TOCOL(CHOOSECOLS(d,idx),1)),)
)"),"")</f>
        <v/>
      </c>
      <c r="H2" s="9" t="str">
        <f>IFERROR(__xludf.DUMMYFUNCTION("LET(
  h,'Respostas ao formulário 1'!$1:$1,
  d,'Respostas ao formulário 1'!$A$2:$ZZ1000,
  proj,$A2,
  pessoa,H$1,
  padrao,""^""&amp;proj&amp;""\s*\|\s*""&amp;pessoa&amp;""\s*\([^)]*\)\s*\["",
  idx,FILTER(SEQUENCE(1,COLUMNS(h)),REGEXMATCH(h,padrao)),
  IFERROR(MEDIAN("&amp;"TOCOL(CHOOSECOLS(d,idx),1)),)
)"),"")</f>
        <v/>
      </c>
      <c r="I2" s="9" t="str">
        <f>IFERROR(__xludf.DUMMYFUNCTION("LET(
  h,'Respostas ao formulário 1'!$1:$1,
  d,'Respostas ao formulário 1'!$A$2:$ZZ1000,
  proj,$A2,
  pessoa,I$1,
  padrao,""^""&amp;proj&amp;""\s*\|\s*""&amp;pessoa&amp;""\s*\([^)]*\)\s*\["",
  idx,FILTER(SEQUENCE(1,COLUMNS(h)),REGEXMATCH(h,padrao)),
  IFERROR(MEDIAN("&amp;"TOCOL(CHOOSECOLS(d,idx),1)),)
)"),"")</f>
        <v/>
      </c>
      <c r="J2" s="9">
        <f>IFERROR(__xludf.DUMMYFUNCTION("LET(
  h,'Respostas ao formulário 1'!$1:$1,
  d,'Respostas ao formulário 1'!$A$2:$ZZ1000,
  proj,$A2,
  pessoa,J$1,
  padrao,""^""&amp;proj&amp;""\s*\|\s*""&amp;pessoa&amp;""\s*\([^)]*\)\s*\["",
  idx,FILTER(SEQUENCE(1,COLUMNS(h)),REGEXMATCH(h,padrao)),
  IFERROR(MEDIAN("&amp;"TOCOL(CHOOSECOLS(d,idx),1)),)
)"),2.0)</f>
        <v>2</v>
      </c>
      <c r="K2" s="9">
        <f>IFERROR(__xludf.DUMMYFUNCTION("LET(
  h,'Respostas ao formulário 1'!$1:$1,
  d,'Respostas ao formulário 1'!$A$2:$ZZ1000,
  proj,$A2,
  pessoa,K$1,
  padrao,""^""&amp;proj&amp;""\s*\|\s*""&amp;pessoa&amp;""\s*\([^)]*\)\s*\["",
  idx,FILTER(SEQUENCE(1,COLUMNS(h)),REGEXMATCH(h,padrao)),
  IFERROR(MEDIAN("&amp;"TOCOL(CHOOSECOLS(d,idx),1)),)
)"),1.0)</f>
        <v>1</v>
      </c>
      <c r="L2" s="9" t="str">
        <f>IFERROR(__xludf.DUMMYFUNCTION("LET(
  h,'Respostas ao formulário 1'!$1:$1,
  d,'Respostas ao formulário 1'!$A$2:$ZZ1000,
  proj,$A2,
  pessoa,L$1,
  padrao,""^""&amp;proj&amp;""\s*\|\s*""&amp;pessoa&amp;""\s*\([^)]*\)\s*\["",
  idx,FILTER(SEQUENCE(1,COLUMNS(h)),REGEXMATCH(h,padrao)),
  IFERROR(MEDIAN("&amp;"TOCOL(CHOOSECOLS(d,idx),1)),)
)"),"")</f>
        <v/>
      </c>
      <c r="M2" s="9" t="str">
        <f>IFERROR(__xludf.DUMMYFUNCTION("LET(
  h,'Respostas ao formulário 1'!$1:$1,
  d,'Respostas ao formulário 1'!$A$2:$ZZ1000,
  proj,$A2,
  pessoa,M$1,
  padrao,""^""&amp;proj&amp;""\s*\|\s*""&amp;pessoa&amp;""\s*\([^)]*\)\s*\["",
  idx,FILTER(SEQUENCE(1,COLUMNS(h)),REGEXMATCH(h,padrao)),
  IFERROR(MEDIAN("&amp;"TOCOL(CHOOSECOLS(d,idx),1)),)
)"),"")</f>
        <v/>
      </c>
      <c r="N2" s="9" t="str">
        <f>IFERROR(__xludf.DUMMYFUNCTION("LET(
  h,'Respostas ao formulário 1'!$1:$1,
  d,'Respostas ao formulário 1'!$A$2:$ZZ1000,
  proj,$A2,
  pessoa,N$1,
  padrao,""^""&amp;proj&amp;""\s*\|\s*""&amp;pessoa&amp;""\s*\([^)]*\)\s*\["",
  idx,FILTER(SEQUENCE(1,COLUMNS(h)),REGEXMATCH(h,padrao)),
  IFERROR(MEDIAN("&amp;"TOCOL(CHOOSECOLS(d,idx),1)),)
)"),"")</f>
        <v/>
      </c>
      <c r="O2" s="9" t="str">
        <f>IFERROR(__xludf.DUMMYFUNCTION("LET(
  h,'Respostas ao formulário 1'!$1:$1,
  d,'Respostas ao formulário 1'!$A$2:$ZZ1000,
  proj,$A2,
  pessoa,O$1,
  padrao,""^""&amp;proj&amp;""\s*\|\s*""&amp;pessoa&amp;""\s*\([^)]*\)\s*\["",
  idx,FILTER(SEQUENCE(1,COLUMNS(h)),REGEXMATCH(h,padrao)),
  IFERROR(MEDIAN("&amp;"TOCOL(CHOOSECOLS(d,idx),1)),)
)"),"")</f>
        <v/>
      </c>
      <c r="P2" s="9" t="str">
        <f>IFERROR(__xludf.DUMMYFUNCTION("LET(
  h,'Respostas ao formulário 1'!$1:$1,
  d,'Respostas ao formulário 1'!$A$2:$ZZ1000,
  proj,$A2,
  pessoa,P$1,
  padrao,""^""&amp;proj&amp;""\s*\|\s*""&amp;pessoa&amp;""\s*\([^)]*\)\s*\["",
  idx,FILTER(SEQUENCE(1,COLUMNS(h)),REGEXMATCH(h,padrao)),
  IFERROR(MEDIAN("&amp;"TOCOL(CHOOSECOLS(d,idx),1)),)
)"),"")</f>
        <v/>
      </c>
      <c r="Q2" s="9" t="str">
        <f>IFERROR(__xludf.DUMMYFUNCTION("LET(
  h,'Respostas ao formulário 1'!$1:$1,
  d,'Respostas ao formulário 1'!$A$2:$ZZ1000,
  proj,$A2,
  pessoa,Q$1,
  padrao,""^""&amp;proj&amp;""\s*\|\s*""&amp;pessoa&amp;""\s*\([^)]*\)\s*\["",
  idx,FILTER(SEQUENCE(1,COLUMNS(h)),REGEXMATCH(h,padrao)),
  IFERROR(MEDIAN("&amp;"TOCOL(CHOOSECOLS(d,idx),1)),)
)"),"")</f>
        <v/>
      </c>
      <c r="R2" s="9" t="str">
        <f>IFERROR(__xludf.DUMMYFUNCTION("LET(
  h,'Respostas ao formulário 1'!$1:$1,
  d,'Respostas ao formulário 1'!$A$2:$ZZ1000,
  proj,$A2,
  pessoa,R$1,
  padrao,""^""&amp;proj&amp;""\s*\|\s*""&amp;pessoa&amp;""\s*\([^)]*\)\s*\["",
  idx,FILTER(SEQUENCE(1,COLUMNS(h)),REGEXMATCH(h,padrao)),
  IFERROR(MEDIAN("&amp;"TOCOL(CHOOSECOLS(d,idx),1)),)
)"),"")</f>
        <v/>
      </c>
      <c r="S2" s="9" t="str">
        <f>IFERROR(__xludf.DUMMYFUNCTION("LET(
  h,'Respostas ao formulário 1'!$1:$1,
  d,'Respostas ao formulário 1'!$A$2:$ZZ1000,
  proj,$A2,
  pessoa,S$1,
  padrao,""^""&amp;proj&amp;""\s*\|\s*""&amp;pessoa&amp;""\s*\([^)]*\)\s*\["",
  idx,FILTER(SEQUENCE(1,COLUMNS(h)),REGEXMATCH(h,padrao)),
  IFERROR(MEDIAN("&amp;"TOCOL(CHOOSECOLS(d,idx),1)),)
)"),"")</f>
        <v/>
      </c>
      <c r="T2" s="9" t="str">
        <f>IFERROR(__xludf.DUMMYFUNCTION("LET(
  h,'Respostas ao formulário 1'!$1:$1,
  d,'Respostas ao formulário 1'!$A$2:$ZZ1000,
  proj,$A2,
  pessoa,T$1,
  padrao,""^""&amp;proj&amp;""\s*\|\s*""&amp;pessoa&amp;""\s*\([^)]*\)\s*\["",
  idx,FILTER(SEQUENCE(1,COLUMNS(h)),REGEXMATCH(h,padrao)),
  IFERROR(MEDIAN("&amp;"TOCOL(CHOOSECOLS(d,idx),1)),)
)"),"")</f>
        <v/>
      </c>
      <c r="U2" s="9" t="str">
        <f>IFERROR(__xludf.DUMMYFUNCTION("LET(
  h,'Respostas ao formulário 1'!$1:$1,
  d,'Respostas ao formulário 1'!$A$2:$ZZ1000,
  proj,$A2,
  pessoa,U$1,
  padrao,""^""&amp;proj&amp;""\s*\|\s*""&amp;pessoa&amp;""\s*\([^)]*\)\s*\["",
  idx,FILTER(SEQUENCE(1,COLUMNS(h)),REGEXMATCH(h,padrao)),
  IFERROR(MEDIAN("&amp;"TOCOL(CHOOSECOLS(d,idx),1)),)
)"),"")</f>
        <v/>
      </c>
      <c r="V2" s="9" t="str">
        <f>IFERROR(__xludf.DUMMYFUNCTION("LET(
  h,'Respostas ao formulário 1'!$1:$1,
  d,'Respostas ao formulário 1'!$A$2:$ZZ1000,
  proj,$A2,
  pessoa,V$1,
  padrao,""^""&amp;proj&amp;""\s*\|\s*""&amp;pessoa&amp;""\s*\([^)]*\)\s*\["",
  idx,FILTER(SEQUENCE(1,COLUMNS(h)),REGEXMATCH(h,padrao)),
  IFERROR(MEDIAN("&amp;"TOCOL(CHOOSECOLS(d,idx),1)),)
)"),"")</f>
        <v/>
      </c>
      <c r="W2" s="9" t="str">
        <f>IFERROR(__xludf.DUMMYFUNCTION("LET(
  h,'Respostas ao formulário 1'!$1:$1,
  d,'Respostas ao formulário 1'!$A$2:$ZZ1000,
  proj,$A2,
  pessoa,W$1,
  padrao,""^""&amp;proj&amp;""\s*\|\s*""&amp;pessoa&amp;""\s*\([^)]*\)\s*\["",
  idx,FILTER(SEQUENCE(1,COLUMNS(h)),REGEXMATCH(h,padrao)),
  IFERROR(MEDIAN("&amp;"TOCOL(CHOOSECOLS(d,idx),1)),)
)"),"")</f>
        <v/>
      </c>
      <c r="X2" s="9">
        <f>IFERROR(__xludf.DUMMYFUNCTION("LET(
  h,'Respostas ao formulário 1'!$1:$1,
  d,'Respostas ao formulário 1'!$A$2:$ZZ1000,
  proj,$A2,
  pessoa,X$1,
  padrao,""^""&amp;proj&amp;""\s*\|\s*""&amp;pessoa&amp;""\s*\([^)]*\)\s*\["",
  idx,FILTER(SEQUENCE(1,COLUMNS(h)),REGEXMATCH(h,padrao)),
  IFERROR(MEDIAN("&amp;"TOCOL(CHOOSECOLS(d,idx),1)),)
)"),2.0)</f>
        <v>2</v>
      </c>
      <c r="Y2" s="9" t="str">
        <f>IFERROR(__xludf.DUMMYFUNCTION("LET(
  h,'Respostas ao formulário 1'!$1:$1,
  d,'Respostas ao formulário 1'!$A$2:$ZZ1000,
  proj,$A2,
  pessoa,Y$1,
  padrao,""^""&amp;proj&amp;""\s*\|\s*""&amp;pessoa&amp;""\s*\([^)]*\)\s*\["",
  idx,FILTER(SEQUENCE(1,COLUMNS(h)),REGEXMATCH(h,padrao)),
  IFERROR(MEDIAN("&amp;"TOCOL(CHOOSECOLS(d,idx),1)),)
)"),"")</f>
        <v/>
      </c>
      <c r="Z2" s="9" t="str">
        <f>IFERROR(__xludf.DUMMYFUNCTION("LET(
  h,'Respostas ao formulário 1'!$1:$1,
  d,'Respostas ao formulário 1'!$A$2:$ZZ1000,
  proj,$A2,
  pessoa,Z$1,
  padrao,""^""&amp;proj&amp;""\s*\|\s*""&amp;pessoa&amp;""\s*\([^)]*\)\s*\["",
  idx,FILTER(SEQUENCE(1,COLUMNS(h)),REGEXMATCH(h,padrao)),
  IFERROR(MEDIAN("&amp;"TOCOL(CHOOSECOLS(d,idx),1)),)
)"),"")</f>
        <v/>
      </c>
      <c r="AB2" s="9" t="str">
        <f>IFERROR(__xludf.DUMMYFUNCTION("LET(
  h,'Respostas ao formulário 1'!$1:$1,
  d,'Respostas ao formulário 1'!$A$2:$ZZ1000,
  proj,$A2,
  pessoa,AB$1,
  padrao,""^""&amp;proj&amp;""\s*\|\s*""&amp;pessoa&amp;""\s*\([^)]*\)\s*\["",
  idx,FILTER(SEQUENCE(1,COLUMNS(h)),REGEXMATCH(h,padrao)),
  IFERROR(MEDIAN"&amp;"(TOCOL(CHOOSECOLS(d,idx),1)),)
)"),"")</f>
        <v/>
      </c>
      <c r="AC2" s="9">
        <f>IFERROR(__xludf.DUMMYFUNCTION("AVERAGE(FILTER(B2:AB2, B2:AB2&lt;&gt;""""))"),2.2)</f>
        <v>2.2</v>
      </c>
    </row>
    <row r="3">
      <c r="A3" s="13" t="s">
        <v>564</v>
      </c>
      <c r="B3" s="9" t="str">
        <f>IFERROR(__xludf.DUMMYFUNCTION("LET(
  h,'Respostas ao formulário 1'!$1:$1,
  d,'Respostas ao formulário 1'!$A$2:$ZZ1000,
  proj,$A3,
  pessoa,B$1,
  padrao,""^""&amp;proj&amp;""\s*\|\s*""&amp;pessoa&amp;""\s*\([^)]*\)\s*\["",
  idx,FILTER(SEQUENCE(1,COLUMNS(h)),REGEXMATCH(h,padrao)),
  IFERROR(MEDIAN("&amp;"TOCOL(CHOOSECOLS(d,idx),1)),)
)"),"")</f>
        <v/>
      </c>
      <c r="C3" s="9" t="str">
        <f>IFERROR(__xludf.DUMMYFUNCTION("LET(
  h,'Respostas ao formulário 1'!$1:$1,
  d,'Respostas ao formulário 1'!$A$2:$ZZ1000,
  proj,$A3,
  pessoa,C$1,
  padrao,""^""&amp;proj&amp;""\s*\|\s*""&amp;pessoa&amp;""\s*\([^)]*\)\s*\["",
  idx,FILTER(SEQUENCE(1,COLUMNS(h)),REGEXMATCH(h,padrao)),
  IFERROR(MEDIAN("&amp;"TOCOL(CHOOSECOLS(d,idx),1)),)
)"),"")</f>
        <v/>
      </c>
      <c r="D3" s="9" t="str">
        <f>IFERROR(__xludf.DUMMYFUNCTION("LET(
  h,'Respostas ao formulário 1'!$1:$1,
  d,'Respostas ao formulário 1'!$A$2:$ZZ1000,
  proj,$A3,
  pessoa,D$1,
  padrao,""^""&amp;proj&amp;""\s*\|\s*""&amp;pessoa&amp;""\s*\([^)]*\)\s*\["",
  idx,FILTER(SEQUENCE(1,COLUMNS(h)),REGEXMATCH(h,padrao)),
  IFERROR(MEDIAN("&amp;"TOCOL(CHOOSECOLS(d,idx),1)),)
)"),"")</f>
        <v/>
      </c>
      <c r="E3" s="9" t="str">
        <f>IFERROR(__xludf.DUMMYFUNCTION("LET(
  h,'Respostas ao formulário 1'!$1:$1,
  d,'Respostas ao formulário 1'!$A$2:$ZZ1000,
  proj,$A3,
  pessoa,E$1,
  padrao,""^""&amp;proj&amp;""\s*\|\s*""&amp;pessoa&amp;""\s*\([^)]*\)\s*\["",
  idx,FILTER(SEQUENCE(1,COLUMNS(h)),REGEXMATCH(h,padrao)),
  IFERROR(MEDIAN("&amp;"TOCOL(CHOOSECOLS(d,idx),1)),)
)"),"")</f>
        <v/>
      </c>
      <c r="F3" s="9" t="str">
        <f>IFERROR(__xludf.DUMMYFUNCTION("LET(
  h,'Respostas ao formulário 1'!$1:$1,
  d,'Respostas ao formulário 1'!$A$2:$ZZ1000,
  proj,$A3,
  pessoa,F$1,
  padrao,""^""&amp;proj&amp;""\s*\|\s*""&amp;pessoa&amp;""\s*\([^)]*\)\s*\["",
  idx,FILTER(SEQUENCE(1,COLUMNS(h)),REGEXMATCH(h,padrao)),
  IFERROR(MEDIAN("&amp;"TOCOL(CHOOSECOLS(d,idx),1)),)
)"),"")</f>
        <v/>
      </c>
      <c r="G3" s="9" t="str">
        <f>IFERROR(__xludf.DUMMYFUNCTION("LET(
  h,'Respostas ao formulário 1'!$1:$1,
  d,'Respostas ao formulário 1'!$A$2:$ZZ1000,
  proj,$A3,
  pessoa,G$1,
  padrao,""^""&amp;proj&amp;""\s*\|\s*""&amp;pessoa&amp;""\s*\([^)]*\)\s*\["",
  idx,FILTER(SEQUENCE(1,COLUMNS(h)),REGEXMATCH(h,padrao)),
  IFERROR(MEDIAN("&amp;"TOCOL(CHOOSECOLS(d,idx),1)),)
)"),"")</f>
        <v/>
      </c>
      <c r="H3" s="9" t="str">
        <f>IFERROR(__xludf.DUMMYFUNCTION("LET(
  h,'Respostas ao formulário 1'!$1:$1,
  d,'Respostas ao formulário 1'!$A$2:$ZZ1000,
  proj,$A3,
  pessoa,H$1,
  padrao,""^""&amp;proj&amp;""\s*\|\s*""&amp;pessoa&amp;""\s*\([^)]*\)\s*\["",
  idx,FILTER(SEQUENCE(1,COLUMNS(h)),REGEXMATCH(h,padrao)),
  IFERROR(MEDIAN("&amp;"TOCOL(CHOOSECOLS(d,idx),1)),)
)"),"")</f>
        <v/>
      </c>
      <c r="I3" s="9" t="str">
        <f>IFERROR(__xludf.DUMMYFUNCTION("LET(
  h,'Respostas ao formulário 1'!$1:$1,
  d,'Respostas ao formulário 1'!$A$2:$ZZ1000,
  proj,$A3,
  pessoa,I$1,
  padrao,""^""&amp;proj&amp;""\s*\|\s*""&amp;pessoa&amp;""\s*\([^)]*\)\s*\["",
  idx,FILTER(SEQUENCE(1,COLUMNS(h)),REGEXMATCH(h,padrao)),
  IFERROR(MEDIAN("&amp;"TOCOL(CHOOSECOLS(d,idx),1)),)
)"),"")</f>
        <v/>
      </c>
      <c r="J3" s="9" t="str">
        <f>IFERROR(__xludf.DUMMYFUNCTION("LET(
  h,'Respostas ao formulário 1'!$1:$1,
  d,'Respostas ao formulário 1'!$A$2:$ZZ1000,
  proj,$A3,
  pessoa,J$1,
  padrao,""^""&amp;proj&amp;""\s*\|\s*""&amp;pessoa&amp;""\s*\([^)]*\)\s*\["",
  idx,FILTER(SEQUENCE(1,COLUMNS(h)),REGEXMATCH(h,padrao)),
  IFERROR(MEDIAN("&amp;"TOCOL(CHOOSECOLS(d,idx),1)),)
)"),"")</f>
        <v/>
      </c>
      <c r="K3" s="9" t="str">
        <f>IFERROR(__xludf.DUMMYFUNCTION("LET(
  h,'Respostas ao formulário 1'!$1:$1,
  d,'Respostas ao formulário 1'!$A$2:$ZZ1000,
  proj,$A3,
  pessoa,K$1,
  padrao,""^""&amp;proj&amp;""\s*\|\s*""&amp;pessoa&amp;""\s*\([^)]*\)\s*\["",
  idx,FILTER(SEQUENCE(1,COLUMNS(h)),REGEXMATCH(h,padrao)),
  IFERROR(MEDIAN("&amp;"TOCOL(CHOOSECOLS(d,idx),1)),)
)"),"")</f>
        <v/>
      </c>
      <c r="L3" s="9" t="str">
        <f>IFERROR(__xludf.DUMMYFUNCTION("LET(
  h,'Respostas ao formulário 1'!$1:$1,
  d,'Respostas ao formulário 1'!$A$2:$ZZ1000,
  proj,$A3,
  pessoa,L$1,
  padrao,""^""&amp;proj&amp;""\s*\|\s*""&amp;pessoa&amp;""\s*\([^)]*\)\s*\["",
  idx,FILTER(SEQUENCE(1,COLUMNS(h)),REGEXMATCH(h,padrao)),
  IFERROR(MEDIAN("&amp;"TOCOL(CHOOSECOLS(d,idx),1)),)
)"),"")</f>
        <v/>
      </c>
      <c r="M3" s="9" t="str">
        <f>IFERROR(__xludf.DUMMYFUNCTION("LET(
  h,'Respostas ao formulário 1'!$1:$1,
  d,'Respostas ao formulário 1'!$A$2:$ZZ1000,
  proj,$A3,
  pessoa,M$1,
  padrao,""^""&amp;proj&amp;""\s*\|\s*""&amp;pessoa&amp;""\s*\([^)]*\)\s*\["",
  idx,FILTER(SEQUENCE(1,COLUMNS(h)),REGEXMATCH(h,padrao)),
  IFERROR(MEDIAN("&amp;"TOCOL(CHOOSECOLS(d,idx),1)),)
)"),"")</f>
        <v/>
      </c>
      <c r="N3" s="9" t="str">
        <f>IFERROR(__xludf.DUMMYFUNCTION("LET(
  h,'Respostas ao formulário 1'!$1:$1,
  d,'Respostas ao formulário 1'!$A$2:$ZZ1000,
  proj,$A3,
  pessoa,N$1,
  padrao,""^""&amp;proj&amp;""\s*\|\s*""&amp;pessoa&amp;""\s*\([^)]*\)\s*\["",
  idx,FILTER(SEQUENCE(1,COLUMNS(h)),REGEXMATCH(h,padrao)),
  IFERROR(MEDIAN("&amp;"TOCOL(CHOOSECOLS(d,idx),1)),)
)"),"")</f>
        <v/>
      </c>
      <c r="O3" s="9" t="str">
        <f>IFERROR(__xludf.DUMMYFUNCTION("LET(
  h,'Respostas ao formulário 1'!$1:$1,
  d,'Respostas ao formulário 1'!$A$2:$ZZ1000,
  proj,$A3,
  pessoa,O$1,
  padrao,""^""&amp;proj&amp;""\s*\|\s*""&amp;pessoa&amp;""\s*\([^)]*\)\s*\["",
  idx,FILTER(SEQUENCE(1,COLUMNS(h)),REGEXMATCH(h,padrao)),
  IFERROR(MEDIAN("&amp;"TOCOL(CHOOSECOLS(d,idx),1)),)
)"),"")</f>
        <v/>
      </c>
      <c r="P3" s="9" t="str">
        <f>IFERROR(__xludf.DUMMYFUNCTION("LET(
  h,'Respostas ao formulário 1'!$1:$1,
  d,'Respostas ao formulário 1'!$A$2:$ZZ1000,
  proj,$A3,
  pessoa,P$1,
  padrao,""^""&amp;proj&amp;""\s*\|\s*""&amp;pessoa&amp;""\s*\([^)]*\)\s*\["",
  idx,FILTER(SEQUENCE(1,COLUMNS(h)),REGEXMATCH(h,padrao)),
  IFERROR(MEDIAN("&amp;"TOCOL(CHOOSECOLS(d,idx),1)),)
)"),"")</f>
        <v/>
      </c>
      <c r="Q3" s="9" t="str">
        <f>IFERROR(__xludf.DUMMYFUNCTION("LET(
  h,'Respostas ao formulário 1'!$1:$1,
  d,'Respostas ao formulário 1'!$A$2:$ZZ1000,
  proj,$A3,
  pessoa,Q$1,
  padrao,""^""&amp;proj&amp;""\s*\|\s*""&amp;pessoa&amp;""\s*\([^)]*\)\s*\["",
  idx,FILTER(SEQUENCE(1,COLUMNS(h)),REGEXMATCH(h,padrao)),
  IFERROR(MEDIAN("&amp;"TOCOL(CHOOSECOLS(d,idx),1)),)
)"),"")</f>
        <v/>
      </c>
      <c r="R3" s="9" t="str">
        <f>IFERROR(__xludf.DUMMYFUNCTION("LET(
  h,'Respostas ao formulário 1'!$1:$1,
  d,'Respostas ao formulário 1'!$A$2:$ZZ1000,
  proj,$A3,
  pessoa,R$1,
  padrao,""^""&amp;proj&amp;""\s*\|\s*""&amp;pessoa&amp;""\s*\([^)]*\)\s*\["",
  idx,FILTER(SEQUENCE(1,COLUMNS(h)),REGEXMATCH(h,padrao)),
  IFERROR(MEDIAN("&amp;"TOCOL(CHOOSECOLS(d,idx),1)),)
)"),"")</f>
        <v/>
      </c>
      <c r="S3" s="9" t="str">
        <f>IFERROR(__xludf.DUMMYFUNCTION("LET(
  h,'Respostas ao formulário 1'!$1:$1,
  d,'Respostas ao formulário 1'!$A$2:$ZZ1000,
  proj,$A3,
  pessoa,S$1,
  padrao,""^""&amp;proj&amp;""\s*\|\s*""&amp;pessoa&amp;""\s*\([^)]*\)\s*\["",
  idx,FILTER(SEQUENCE(1,COLUMNS(h)),REGEXMATCH(h,padrao)),
  IFERROR(MEDIAN("&amp;"TOCOL(CHOOSECOLS(d,idx),1)),)
)"),"")</f>
        <v/>
      </c>
      <c r="T3" s="9" t="str">
        <f>IFERROR(__xludf.DUMMYFUNCTION("LET(
  h,'Respostas ao formulário 1'!$1:$1,
  d,'Respostas ao formulário 1'!$A$2:$ZZ1000,
  proj,$A3,
  pessoa,T$1,
  padrao,""^""&amp;proj&amp;""\s*\|\s*""&amp;pessoa&amp;""\s*\([^)]*\)\s*\["",
  idx,FILTER(SEQUENCE(1,COLUMNS(h)),REGEXMATCH(h,padrao)),
  IFERROR(MEDIAN("&amp;"TOCOL(CHOOSECOLS(d,idx),1)),)
)"),"")</f>
        <v/>
      </c>
      <c r="U3" s="9" t="str">
        <f>IFERROR(__xludf.DUMMYFUNCTION("LET(
  h,'Respostas ao formulário 1'!$1:$1,
  d,'Respostas ao formulário 1'!$A$2:$ZZ1000,
  proj,$A3,
  pessoa,U$1,
  padrao,""^""&amp;proj&amp;""\s*\|\s*""&amp;pessoa&amp;""\s*\([^)]*\)\s*\["",
  idx,FILTER(SEQUENCE(1,COLUMNS(h)),REGEXMATCH(h,padrao)),
  IFERROR(MEDIAN("&amp;"TOCOL(CHOOSECOLS(d,idx),1)),)
)"),"")</f>
        <v/>
      </c>
      <c r="V3" s="9" t="str">
        <f>IFERROR(__xludf.DUMMYFUNCTION("LET(
  h,'Respostas ao formulário 1'!$1:$1,
  d,'Respostas ao formulário 1'!$A$2:$ZZ1000,
  proj,$A3,
  pessoa,V$1,
  padrao,""^""&amp;proj&amp;""\s*\|\s*""&amp;pessoa&amp;""\s*\([^)]*\)\s*\["",
  idx,FILTER(SEQUENCE(1,COLUMNS(h)),REGEXMATCH(h,padrao)),
  IFERROR(MEDIAN("&amp;"TOCOL(CHOOSECOLS(d,idx),1)),)
)"),"")</f>
        <v/>
      </c>
      <c r="W3" s="9" t="str">
        <f>IFERROR(__xludf.DUMMYFUNCTION("LET(
  h,'Respostas ao formulário 1'!$1:$1,
  d,'Respostas ao formulário 1'!$A$2:$ZZ1000,
  proj,$A3,
  pessoa,W$1,
  padrao,""^""&amp;proj&amp;""\s*\|\s*""&amp;pessoa&amp;""\s*\([^)]*\)\s*\["",
  idx,FILTER(SEQUENCE(1,COLUMNS(h)),REGEXMATCH(h,padrao)),
  IFERROR(MEDIAN("&amp;"TOCOL(CHOOSECOLS(d,idx),1)),)
)"),"")</f>
        <v/>
      </c>
      <c r="X3" s="9" t="str">
        <f>IFERROR(__xludf.DUMMYFUNCTION("LET(
  h,'Respostas ao formulário 1'!$1:$1,
  d,'Respostas ao formulário 1'!$A$2:$ZZ1000,
  proj,$A3,
  pessoa,X$1,
  padrao,""^""&amp;proj&amp;""\s*\|\s*""&amp;pessoa&amp;""\s*\([^)]*\)\s*\["",
  idx,FILTER(SEQUENCE(1,COLUMNS(h)),REGEXMATCH(h,padrao)),
  IFERROR(MEDIAN("&amp;"TOCOL(CHOOSECOLS(d,idx),1)),)
)"),"")</f>
        <v/>
      </c>
      <c r="Y3" s="9" t="str">
        <f>IFERROR(__xludf.DUMMYFUNCTION("LET(
  h,'Respostas ao formulário 1'!$1:$1,
  d,'Respostas ao formulário 1'!$A$2:$ZZ1000,
  proj,$A3,
  pessoa,Y$1,
  padrao,""^""&amp;proj&amp;""\s*\|\s*""&amp;pessoa&amp;""\s*\([^)]*\)\s*\["",
  idx,FILTER(SEQUENCE(1,COLUMNS(h)),REGEXMATCH(h,padrao)),
  IFERROR(MEDIAN("&amp;"TOCOL(CHOOSECOLS(d,idx),1)),)
)"),"")</f>
        <v/>
      </c>
      <c r="Z3" s="9" t="str">
        <f>IFERROR(__xludf.DUMMYFUNCTION("LET(
  h,'Respostas ao formulário 1'!$1:$1,
  d,'Respostas ao formulário 1'!$A$2:$ZZ1000,
  proj,$A3,
  pessoa,Z$1,
  padrao,""^""&amp;proj&amp;""\s*\|\s*""&amp;pessoa&amp;""\s*\([^)]*\)\s*\["",
  idx,FILTER(SEQUENCE(1,COLUMNS(h)),REGEXMATCH(h,padrao)),
  IFERROR(MEDIAN("&amp;"TOCOL(CHOOSECOLS(d,idx),1)),)
)"),"")</f>
        <v/>
      </c>
      <c r="AB3" s="9" t="str">
        <f>IFERROR(__xludf.DUMMYFUNCTION("LET(
  h,'Respostas ao formulário 1'!$1:$1,
  d,'Respostas ao formulário 1'!$A$2:$ZZ1000,
  proj,$A3,
  pessoa,AB$1,
  padrao,""^""&amp;proj&amp;""\s*\|\s*""&amp;pessoa&amp;""\s*\([^)]*\)\s*\["",
  idx,FILTER(SEQUENCE(1,COLUMNS(h)),REGEXMATCH(h,padrao)),
  IFERROR(MEDIAN"&amp;"(TOCOL(CHOOSECOLS(d,idx),1)),)
)"),"")</f>
        <v/>
      </c>
      <c r="AC3" s="9" t="str">
        <f>IFERROR(__xludf.DUMMYFUNCTION("AVERAGE(FILTER(B3:AB3, B3:AB3&lt;&gt;""""))"),"#N/A")</f>
        <v>#N/A</v>
      </c>
    </row>
    <row r="4">
      <c r="A4" s="13" t="s">
        <v>567</v>
      </c>
      <c r="B4" s="9" t="str">
        <f>IFERROR(__xludf.DUMMYFUNCTION("LET(
  h,'Respostas ao formulário 1'!$1:$1,
  d,'Respostas ao formulário 1'!$A$2:$ZZ1000,
  proj,$A4,
  pessoa,B$1,
  padrao,""^""&amp;proj&amp;""\s*\|\s*""&amp;pessoa&amp;""\s*\([^)]*\)\s*\["",
  idx,FILTER(SEQUENCE(1,COLUMNS(h)),REGEXMATCH(h,padrao)),
  IFERROR(MEDIAN("&amp;"TOCOL(CHOOSECOLS(d,idx),1)),)
)"),"")</f>
        <v/>
      </c>
      <c r="C4" s="9" t="str">
        <f>IFERROR(__xludf.DUMMYFUNCTION("LET(
  h,'Respostas ao formulário 1'!$1:$1,
  d,'Respostas ao formulário 1'!$A$2:$ZZ1000,
  proj,$A4,
  pessoa,C$1,
  padrao,""^""&amp;proj&amp;""\s*\|\s*""&amp;pessoa&amp;""\s*\([^)]*\)\s*\["",
  idx,FILTER(SEQUENCE(1,COLUMNS(h)),REGEXMATCH(h,padrao)),
  IFERROR(MEDIAN("&amp;"TOCOL(CHOOSECOLS(d,idx),1)),)
)"),"")</f>
        <v/>
      </c>
      <c r="D4" s="9">
        <f>IFERROR(__xludf.DUMMYFUNCTION("LET(
  h,'Respostas ao formulário 1'!$1:$1,
  d,'Respostas ao formulário 1'!$A$2:$ZZ1000,
  proj,$A4,
  pessoa,D$1,
  padrao,""^""&amp;proj&amp;""\s*\|\s*""&amp;pessoa&amp;""\s*\([^)]*\)\s*\["",
  idx,FILTER(SEQUENCE(1,COLUMNS(h)),REGEXMATCH(h,padrao)),
  IFERROR(MEDIAN("&amp;"TOCOL(CHOOSECOLS(d,idx),1)),)
)"),3.0)</f>
        <v>3</v>
      </c>
      <c r="E4" s="9" t="str">
        <f>IFERROR(__xludf.DUMMYFUNCTION("LET(
  h,'Respostas ao formulário 1'!$1:$1,
  d,'Respostas ao formulário 1'!$A$2:$ZZ1000,
  proj,$A4,
  pessoa,E$1,
  padrao,""^""&amp;proj&amp;""\s*\|\s*""&amp;pessoa&amp;""\s*\([^)]*\)\s*\["",
  idx,FILTER(SEQUENCE(1,COLUMNS(h)),REGEXMATCH(h,padrao)),
  IFERROR(MEDIAN("&amp;"TOCOL(CHOOSECOLS(d,idx),1)),)
)"),"")</f>
        <v/>
      </c>
      <c r="F4" s="9" t="str">
        <f>IFERROR(__xludf.DUMMYFUNCTION("LET(
  h,'Respostas ao formulário 1'!$1:$1,
  d,'Respostas ao formulário 1'!$A$2:$ZZ1000,
  proj,$A4,
  pessoa,F$1,
  padrao,""^""&amp;proj&amp;""\s*\|\s*""&amp;pessoa&amp;""\s*\([^)]*\)\s*\["",
  idx,FILTER(SEQUENCE(1,COLUMNS(h)),REGEXMATCH(h,padrao)),
  IFERROR(MEDIAN("&amp;"TOCOL(CHOOSECOLS(d,idx),1)),)
)"),"")</f>
        <v/>
      </c>
      <c r="G4" s="9">
        <f>IFERROR(__xludf.DUMMYFUNCTION("LET(
  h,'Respostas ao formulário 1'!$1:$1,
  d,'Respostas ao formulário 1'!$A$2:$ZZ1000,
  proj,$A4,
  pessoa,G$1,
  padrao,""^""&amp;proj&amp;""\s*\|\s*""&amp;pessoa&amp;""\s*\([^)]*\)\s*\["",
  idx,FILTER(SEQUENCE(1,COLUMNS(h)),REGEXMATCH(h,padrao)),
  IFERROR(MEDIAN("&amp;"TOCOL(CHOOSECOLS(d,idx),1)),)
)"),3.0)</f>
        <v>3</v>
      </c>
      <c r="H4" s="9" t="str">
        <f>IFERROR(__xludf.DUMMYFUNCTION("LET(
  h,'Respostas ao formulário 1'!$1:$1,
  d,'Respostas ao formulário 1'!$A$2:$ZZ1000,
  proj,$A4,
  pessoa,H$1,
  padrao,""^""&amp;proj&amp;""\s*\|\s*""&amp;pessoa&amp;""\s*\([^)]*\)\s*\["",
  idx,FILTER(SEQUENCE(1,COLUMNS(h)),REGEXMATCH(h,padrao)),
  IFERROR(MEDIAN("&amp;"TOCOL(CHOOSECOLS(d,idx),1)),)
)"),"")</f>
        <v/>
      </c>
      <c r="I4" s="9" t="str">
        <f>IFERROR(__xludf.DUMMYFUNCTION("LET(
  h,'Respostas ao formulário 1'!$1:$1,
  d,'Respostas ao formulário 1'!$A$2:$ZZ1000,
  proj,$A4,
  pessoa,I$1,
  padrao,""^""&amp;proj&amp;""\s*\|\s*""&amp;pessoa&amp;""\s*\([^)]*\)\s*\["",
  idx,FILTER(SEQUENCE(1,COLUMNS(h)),REGEXMATCH(h,padrao)),
  IFERROR(MEDIAN("&amp;"TOCOL(CHOOSECOLS(d,idx),1)),)
)"),"")</f>
        <v/>
      </c>
      <c r="J4" s="9" t="str">
        <f>IFERROR(__xludf.DUMMYFUNCTION("LET(
  h,'Respostas ao formulário 1'!$1:$1,
  d,'Respostas ao formulário 1'!$A$2:$ZZ1000,
  proj,$A4,
  pessoa,J$1,
  padrao,""^""&amp;proj&amp;""\s*\|\s*""&amp;pessoa&amp;""\s*\([^)]*\)\s*\["",
  idx,FILTER(SEQUENCE(1,COLUMNS(h)),REGEXMATCH(h,padrao)),
  IFERROR(MEDIAN("&amp;"TOCOL(CHOOSECOLS(d,idx),1)),)
)"),"")</f>
        <v/>
      </c>
      <c r="K4" s="9" t="str">
        <f>IFERROR(__xludf.DUMMYFUNCTION("LET(
  h,'Respostas ao formulário 1'!$1:$1,
  d,'Respostas ao formulário 1'!$A$2:$ZZ1000,
  proj,$A4,
  pessoa,K$1,
  padrao,""^""&amp;proj&amp;""\s*\|\s*""&amp;pessoa&amp;""\s*\([^)]*\)\s*\["",
  idx,FILTER(SEQUENCE(1,COLUMNS(h)),REGEXMATCH(h,padrao)),
  IFERROR(MEDIAN("&amp;"TOCOL(CHOOSECOLS(d,idx),1)),)
)"),"")</f>
        <v/>
      </c>
      <c r="L4" s="9" t="str">
        <f>IFERROR(__xludf.DUMMYFUNCTION("LET(
  h,'Respostas ao formulário 1'!$1:$1,
  d,'Respostas ao formulário 1'!$A$2:$ZZ1000,
  proj,$A4,
  pessoa,L$1,
  padrao,""^""&amp;proj&amp;""\s*\|\s*""&amp;pessoa&amp;""\s*\([^)]*\)\s*\["",
  idx,FILTER(SEQUENCE(1,COLUMNS(h)),REGEXMATCH(h,padrao)),
  IFERROR(MEDIAN("&amp;"TOCOL(CHOOSECOLS(d,idx),1)),)
)"),"")</f>
        <v/>
      </c>
      <c r="M4" s="9">
        <f>IFERROR(__xludf.DUMMYFUNCTION("LET(
  h,'Respostas ao formulário 1'!$1:$1,
  d,'Respostas ao formulário 1'!$A$2:$ZZ1000,
  proj,$A4,
  pessoa,M$1,
  padrao,""^""&amp;proj&amp;""\s*\|\s*""&amp;pessoa&amp;""\s*\([^)]*\)\s*\["",
  idx,FILTER(SEQUENCE(1,COLUMNS(h)),REGEXMATCH(h,padrao)),
  IFERROR(MEDIAN("&amp;"TOCOL(CHOOSECOLS(d,idx),1)),)
)"),3.0)</f>
        <v>3</v>
      </c>
      <c r="N4" s="9" t="str">
        <f>IFERROR(__xludf.DUMMYFUNCTION("LET(
  h,'Respostas ao formulário 1'!$1:$1,
  d,'Respostas ao formulário 1'!$A$2:$ZZ1000,
  proj,$A4,
  pessoa,N$1,
  padrao,""^""&amp;proj&amp;""\s*\|\s*""&amp;pessoa&amp;""\s*\([^)]*\)\s*\["",
  idx,FILTER(SEQUENCE(1,COLUMNS(h)),REGEXMATCH(h,padrao)),
  IFERROR(MEDIAN("&amp;"TOCOL(CHOOSECOLS(d,idx),1)),)
)"),"")</f>
        <v/>
      </c>
      <c r="O4" s="9" t="str">
        <f>IFERROR(__xludf.DUMMYFUNCTION("LET(
  h,'Respostas ao formulário 1'!$1:$1,
  d,'Respostas ao formulário 1'!$A$2:$ZZ1000,
  proj,$A4,
  pessoa,O$1,
  padrao,""^""&amp;proj&amp;""\s*\|\s*""&amp;pessoa&amp;""\s*\([^)]*\)\s*\["",
  idx,FILTER(SEQUENCE(1,COLUMNS(h)),REGEXMATCH(h,padrao)),
  IFERROR(MEDIAN("&amp;"TOCOL(CHOOSECOLS(d,idx),1)),)
)"),"")</f>
        <v/>
      </c>
      <c r="P4" s="9" t="str">
        <f>IFERROR(__xludf.DUMMYFUNCTION("LET(
  h,'Respostas ao formulário 1'!$1:$1,
  d,'Respostas ao formulário 1'!$A$2:$ZZ1000,
  proj,$A4,
  pessoa,P$1,
  padrao,""^""&amp;proj&amp;""\s*\|\s*""&amp;pessoa&amp;""\s*\([^)]*\)\s*\["",
  idx,FILTER(SEQUENCE(1,COLUMNS(h)),REGEXMATCH(h,padrao)),
  IFERROR(MEDIAN("&amp;"TOCOL(CHOOSECOLS(d,idx),1)),)
)"),"")</f>
        <v/>
      </c>
      <c r="Q4" s="9" t="str">
        <f>IFERROR(__xludf.DUMMYFUNCTION("LET(
  h,'Respostas ao formulário 1'!$1:$1,
  d,'Respostas ao formulário 1'!$A$2:$ZZ1000,
  proj,$A4,
  pessoa,Q$1,
  padrao,""^""&amp;proj&amp;""\s*\|\s*""&amp;pessoa&amp;""\s*\([^)]*\)\s*\["",
  idx,FILTER(SEQUENCE(1,COLUMNS(h)),REGEXMATCH(h,padrao)),
  IFERROR(MEDIAN("&amp;"TOCOL(CHOOSECOLS(d,idx),1)),)
)"),"")</f>
        <v/>
      </c>
      <c r="R4" s="9" t="str">
        <f>IFERROR(__xludf.DUMMYFUNCTION("LET(
  h,'Respostas ao formulário 1'!$1:$1,
  d,'Respostas ao formulário 1'!$A$2:$ZZ1000,
  proj,$A4,
  pessoa,R$1,
  padrao,""^""&amp;proj&amp;""\s*\|\s*""&amp;pessoa&amp;""\s*\([^)]*\)\s*\["",
  idx,FILTER(SEQUENCE(1,COLUMNS(h)),REGEXMATCH(h,padrao)),
  IFERROR(MEDIAN("&amp;"TOCOL(CHOOSECOLS(d,idx),1)),)
)"),"")</f>
        <v/>
      </c>
      <c r="S4" s="9" t="str">
        <f>IFERROR(__xludf.DUMMYFUNCTION("LET(
  h,'Respostas ao formulário 1'!$1:$1,
  d,'Respostas ao formulário 1'!$A$2:$ZZ1000,
  proj,$A4,
  pessoa,S$1,
  padrao,""^""&amp;proj&amp;""\s*\|\s*""&amp;pessoa&amp;""\s*\([^)]*\)\s*\["",
  idx,FILTER(SEQUENCE(1,COLUMNS(h)),REGEXMATCH(h,padrao)),
  IFERROR(MEDIAN("&amp;"TOCOL(CHOOSECOLS(d,idx),1)),)
)"),"")</f>
        <v/>
      </c>
      <c r="T4" s="9" t="str">
        <f>IFERROR(__xludf.DUMMYFUNCTION("LET(
  h,'Respostas ao formulário 1'!$1:$1,
  d,'Respostas ao formulário 1'!$A$2:$ZZ1000,
  proj,$A4,
  pessoa,T$1,
  padrao,""^""&amp;proj&amp;""\s*\|\s*""&amp;pessoa&amp;""\s*\([^)]*\)\s*\["",
  idx,FILTER(SEQUENCE(1,COLUMNS(h)),REGEXMATCH(h,padrao)),
  IFERROR(MEDIAN("&amp;"TOCOL(CHOOSECOLS(d,idx),1)),)
)"),"")</f>
        <v/>
      </c>
      <c r="U4" s="9" t="str">
        <f>IFERROR(__xludf.DUMMYFUNCTION("LET(
  h,'Respostas ao formulário 1'!$1:$1,
  d,'Respostas ao formulário 1'!$A$2:$ZZ1000,
  proj,$A4,
  pessoa,U$1,
  padrao,""^""&amp;proj&amp;""\s*\|\s*""&amp;pessoa&amp;""\s*\([^)]*\)\s*\["",
  idx,FILTER(SEQUENCE(1,COLUMNS(h)),REGEXMATCH(h,padrao)),
  IFERROR(MEDIAN("&amp;"TOCOL(CHOOSECOLS(d,idx),1)),)
)"),"")</f>
        <v/>
      </c>
      <c r="V4" s="9" t="str">
        <f>IFERROR(__xludf.DUMMYFUNCTION("LET(
  h,'Respostas ao formulário 1'!$1:$1,
  d,'Respostas ao formulário 1'!$A$2:$ZZ1000,
  proj,$A4,
  pessoa,V$1,
  padrao,""^""&amp;proj&amp;""\s*\|\s*""&amp;pessoa&amp;""\s*\([^)]*\)\s*\["",
  idx,FILTER(SEQUENCE(1,COLUMNS(h)),REGEXMATCH(h,padrao)),
  IFERROR(MEDIAN("&amp;"TOCOL(CHOOSECOLS(d,idx),1)),)
)"),"")</f>
        <v/>
      </c>
      <c r="W4" s="9" t="str">
        <f>IFERROR(__xludf.DUMMYFUNCTION("LET(
  h,'Respostas ao formulário 1'!$1:$1,
  d,'Respostas ao formulário 1'!$A$2:$ZZ1000,
  proj,$A4,
  pessoa,W$1,
  padrao,""^""&amp;proj&amp;""\s*\|\s*""&amp;pessoa&amp;""\s*\([^)]*\)\s*\["",
  idx,FILTER(SEQUENCE(1,COLUMNS(h)),REGEXMATCH(h,padrao)),
  IFERROR(MEDIAN("&amp;"TOCOL(CHOOSECOLS(d,idx),1)),)
)"),"")</f>
        <v/>
      </c>
      <c r="X4" s="9" t="str">
        <f>IFERROR(__xludf.DUMMYFUNCTION("LET(
  h,'Respostas ao formulário 1'!$1:$1,
  d,'Respostas ao formulário 1'!$A$2:$ZZ1000,
  proj,$A4,
  pessoa,X$1,
  padrao,""^""&amp;proj&amp;""\s*\|\s*""&amp;pessoa&amp;""\s*\([^)]*\)\s*\["",
  idx,FILTER(SEQUENCE(1,COLUMNS(h)),REGEXMATCH(h,padrao)),
  IFERROR(MEDIAN("&amp;"TOCOL(CHOOSECOLS(d,idx),1)),)
)"),"")</f>
        <v/>
      </c>
      <c r="Y4" s="9" t="str">
        <f>IFERROR(__xludf.DUMMYFUNCTION("LET(
  h,'Respostas ao formulário 1'!$1:$1,
  d,'Respostas ao formulário 1'!$A$2:$ZZ1000,
  proj,$A4,
  pessoa,Y$1,
  padrao,""^""&amp;proj&amp;""\s*\|\s*""&amp;pessoa&amp;""\s*\([^)]*\)\s*\["",
  idx,FILTER(SEQUENCE(1,COLUMNS(h)),REGEXMATCH(h,padrao)),
  IFERROR(MEDIAN("&amp;"TOCOL(CHOOSECOLS(d,idx),1)),)
)"),"")</f>
        <v/>
      </c>
      <c r="Z4" s="9" t="str">
        <f>IFERROR(__xludf.DUMMYFUNCTION("LET(
  h,'Respostas ao formulário 1'!$1:$1,
  d,'Respostas ao formulário 1'!$A$2:$ZZ1000,
  proj,$A4,
  pessoa,Z$1,
  padrao,""^""&amp;proj&amp;""\s*\|\s*""&amp;pessoa&amp;""\s*\([^)]*\)\s*\["",
  idx,FILTER(SEQUENCE(1,COLUMNS(h)),REGEXMATCH(h,padrao)),
  IFERROR(MEDIAN("&amp;"TOCOL(CHOOSECOLS(d,idx),1)),)
)"),"")</f>
        <v/>
      </c>
      <c r="AB4" s="9" t="str">
        <f>IFERROR(__xludf.DUMMYFUNCTION("LET(
  h,'Respostas ao formulário 1'!$1:$1,
  d,'Respostas ao formulário 1'!$A$2:$ZZ1000,
  proj,$A4,
  pessoa,AB$1,
  padrao,""^""&amp;proj&amp;""\s*\|\s*""&amp;pessoa&amp;""\s*\([^)]*\)\s*\["",
  idx,FILTER(SEQUENCE(1,COLUMNS(h)),REGEXMATCH(h,padrao)),
  IFERROR(MEDIAN"&amp;"(TOCOL(CHOOSECOLS(d,idx),1)),)
)"),"")</f>
        <v/>
      </c>
      <c r="AC4" s="9">
        <f>IFERROR(__xludf.DUMMYFUNCTION("AVERAGE(FILTER(B4:AB4, B4:AB4&lt;&gt;""""))"),3.0)</f>
        <v>3</v>
      </c>
    </row>
    <row r="5">
      <c r="A5" s="13" t="s">
        <v>647</v>
      </c>
      <c r="B5" s="9" t="str">
        <f>IFERROR(__xludf.DUMMYFUNCTION("LET(
  h,'Respostas ao formulário 1'!$1:$1,
  d,'Respostas ao formulário 1'!$A$2:$ZZ1000,
  proj,$A5,
  pessoa,B$1,
  padrao,""^""&amp;proj&amp;""\s*\|\s*""&amp;pessoa&amp;""\s*\([^)]*\)\s*\["",
  idx,FILTER(SEQUENCE(1,COLUMNS(h)),REGEXMATCH(h,padrao)),
  IFERROR(MEDIAN("&amp;"TOCOL(CHOOSECOLS(d,idx),1)),)
)"),"")</f>
        <v/>
      </c>
      <c r="C5" s="9" t="str">
        <f>IFERROR(__xludf.DUMMYFUNCTION("LET(
  h,'Respostas ao formulário 1'!$1:$1,
  d,'Respostas ao formulário 1'!$A$2:$ZZ1000,
  proj,$A5,
  pessoa,C$1,
  padrao,""^""&amp;proj&amp;""\s*\|\s*""&amp;pessoa&amp;""\s*\([^)]*\)\s*\["",
  idx,FILTER(SEQUENCE(1,COLUMNS(h)),REGEXMATCH(h,padrao)),
  IFERROR(MEDIAN("&amp;"TOCOL(CHOOSECOLS(d,idx),1)),)
)"),"")</f>
        <v/>
      </c>
      <c r="D5" s="9" t="str">
        <f>IFERROR(__xludf.DUMMYFUNCTION("LET(
  h,'Respostas ao formulário 1'!$1:$1,
  d,'Respostas ao formulário 1'!$A$2:$ZZ1000,
  proj,$A5,
  pessoa,D$1,
  padrao,""^""&amp;proj&amp;""\s*\|\s*""&amp;pessoa&amp;""\s*\([^)]*\)\s*\["",
  idx,FILTER(SEQUENCE(1,COLUMNS(h)),REGEXMATCH(h,padrao)),
  IFERROR(MEDIAN("&amp;"TOCOL(CHOOSECOLS(d,idx),1)),)
)"),"")</f>
        <v/>
      </c>
      <c r="E5" s="9" t="str">
        <f>IFERROR(__xludf.DUMMYFUNCTION("LET(
  h,'Respostas ao formulário 1'!$1:$1,
  d,'Respostas ao formulário 1'!$A$2:$ZZ1000,
  proj,$A5,
  pessoa,E$1,
  padrao,""^""&amp;proj&amp;""\s*\|\s*""&amp;pessoa&amp;""\s*\([^)]*\)\s*\["",
  idx,FILTER(SEQUENCE(1,COLUMNS(h)),REGEXMATCH(h,padrao)),
  IFERROR(MEDIAN("&amp;"TOCOL(CHOOSECOLS(d,idx),1)),)
)"),"")</f>
        <v/>
      </c>
      <c r="F5" s="9" t="str">
        <f>IFERROR(__xludf.DUMMYFUNCTION("LET(
  h,'Respostas ao formulário 1'!$1:$1,
  d,'Respostas ao formulário 1'!$A$2:$ZZ1000,
  proj,$A5,
  pessoa,F$1,
  padrao,""^""&amp;proj&amp;""\s*\|\s*""&amp;pessoa&amp;""\s*\([^)]*\)\s*\["",
  idx,FILTER(SEQUENCE(1,COLUMNS(h)),REGEXMATCH(h,padrao)),
  IFERROR(MEDIAN("&amp;"TOCOL(CHOOSECOLS(d,idx),1)),)
)"),"")</f>
        <v/>
      </c>
      <c r="G5" s="9" t="str">
        <f>IFERROR(__xludf.DUMMYFUNCTION("LET(
  h,'Respostas ao formulário 1'!$1:$1,
  d,'Respostas ao formulário 1'!$A$2:$ZZ1000,
  proj,$A5,
  pessoa,G$1,
  padrao,""^""&amp;proj&amp;""\s*\|\s*""&amp;pessoa&amp;""\s*\([^)]*\)\s*\["",
  idx,FILTER(SEQUENCE(1,COLUMNS(h)),REGEXMATCH(h,padrao)),
  IFERROR(MEDIAN("&amp;"TOCOL(CHOOSECOLS(d,idx),1)),)
)"),"")</f>
        <v/>
      </c>
      <c r="H5" s="9" t="str">
        <f>IFERROR(__xludf.DUMMYFUNCTION("LET(
  h,'Respostas ao formulário 1'!$1:$1,
  d,'Respostas ao formulário 1'!$A$2:$ZZ1000,
  proj,$A5,
  pessoa,H$1,
  padrao,""^""&amp;proj&amp;""\s*\|\s*""&amp;pessoa&amp;""\s*\([^)]*\)\s*\["",
  idx,FILTER(SEQUENCE(1,COLUMNS(h)),REGEXMATCH(h,padrao)),
  IFERROR(MEDIAN("&amp;"TOCOL(CHOOSECOLS(d,idx),1)),)
)"),"")</f>
        <v/>
      </c>
      <c r="I5" s="9" t="str">
        <f>IFERROR(__xludf.DUMMYFUNCTION("LET(
  h,'Respostas ao formulário 1'!$1:$1,
  d,'Respostas ao formulário 1'!$A$2:$ZZ1000,
  proj,$A5,
  pessoa,I$1,
  padrao,""^""&amp;proj&amp;""\s*\|\s*""&amp;pessoa&amp;""\s*\([^)]*\)\s*\["",
  idx,FILTER(SEQUENCE(1,COLUMNS(h)),REGEXMATCH(h,padrao)),
  IFERROR(MEDIAN("&amp;"TOCOL(CHOOSECOLS(d,idx),1)),)
)"),"")</f>
        <v/>
      </c>
      <c r="J5" s="9" t="str">
        <f>IFERROR(__xludf.DUMMYFUNCTION("LET(
  h,'Respostas ao formulário 1'!$1:$1,
  d,'Respostas ao formulário 1'!$A$2:$ZZ1000,
  proj,$A5,
  pessoa,J$1,
  padrao,""^""&amp;proj&amp;""\s*\|\s*""&amp;pessoa&amp;""\s*\([^)]*\)\s*\["",
  idx,FILTER(SEQUENCE(1,COLUMNS(h)),REGEXMATCH(h,padrao)),
  IFERROR(MEDIAN("&amp;"TOCOL(CHOOSECOLS(d,idx),1)),)
)"),"")</f>
        <v/>
      </c>
      <c r="K5" s="9" t="str">
        <f>IFERROR(__xludf.DUMMYFUNCTION("LET(
  h,'Respostas ao formulário 1'!$1:$1,
  d,'Respostas ao formulário 1'!$A$2:$ZZ1000,
  proj,$A5,
  pessoa,K$1,
  padrao,""^""&amp;proj&amp;""\s*\|\s*""&amp;pessoa&amp;""\s*\([^)]*\)\s*\["",
  idx,FILTER(SEQUENCE(1,COLUMNS(h)),REGEXMATCH(h,padrao)),
  IFERROR(MEDIAN("&amp;"TOCOL(CHOOSECOLS(d,idx),1)),)
)"),"")</f>
        <v/>
      </c>
      <c r="L5" s="9" t="str">
        <f>IFERROR(__xludf.DUMMYFUNCTION("LET(
  h,'Respostas ao formulário 1'!$1:$1,
  d,'Respostas ao formulário 1'!$A$2:$ZZ1000,
  proj,$A5,
  pessoa,L$1,
  padrao,""^""&amp;proj&amp;""\s*\|\s*""&amp;pessoa&amp;""\s*\([^)]*\)\s*\["",
  idx,FILTER(SEQUENCE(1,COLUMNS(h)),REGEXMATCH(h,padrao)),
  IFERROR(MEDIAN("&amp;"TOCOL(CHOOSECOLS(d,idx),1)),)
)"),"")</f>
        <v/>
      </c>
      <c r="M5" s="9" t="str">
        <f>IFERROR(__xludf.DUMMYFUNCTION("LET(
  h,'Respostas ao formulário 1'!$1:$1,
  d,'Respostas ao formulário 1'!$A$2:$ZZ1000,
  proj,$A5,
  pessoa,M$1,
  padrao,""^""&amp;proj&amp;""\s*\|\s*""&amp;pessoa&amp;""\s*\([^)]*\)\s*\["",
  idx,FILTER(SEQUENCE(1,COLUMNS(h)),REGEXMATCH(h,padrao)),
  IFERROR(MEDIAN("&amp;"TOCOL(CHOOSECOLS(d,idx),1)),)
)"),"")</f>
        <v/>
      </c>
      <c r="N5" s="9" t="str">
        <f>IFERROR(__xludf.DUMMYFUNCTION("LET(
  h,'Respostas ao formulário 1'!$1:$1,
  d,'Respostas ao formulário 1'!$A$2:$ZZ1000,
  proj,$A5,
  pessoa,N$1,
  padrao,""^""&amp;proj&amp;""\s*\|\s*""&amp;pessoa&amp;""\s*\([^)]*\)\s*\["",
  idx,FILTER(SEQUENCE(1,COLUMNS(h)),REGEXMATCH(h,padrao)),
  IFERROR(MEDIAN("&amp;"TOCOL(CHOOSECOLS(d,idx),1)),)
)"),"")</f>
        <v/>
      </c>
      <c r="O5" s="9" t="str">
        <f>IFERROR(__xludf.DUMMYFUNCTION("LET(
  h,'Respostas ao formulário 1'!$1:$1,
  d,'Respostas ao formulário 1'!$A$2:$ZZ1000,
  proj,$A5,
  pessoa,O$1,
  padrao,""^""&amp;proj&amp;""\s*\|\s*""&amp;pessoa&amp;""\s*\([^)]*\)\s*\["",
  idx,FILTER(SEQUENCE(1,COLUMNS(h)),REGEXMATCH(h,padrao)),
  IFERROR(MEDIAN("&amp;"TOCOL(CHOOSECOLS(d,idx),1)),)
)"),"")</f>
        <v/>
      </c>
      <c r="P5" s="9" t="str">
        <f>IFERROR(__xludf.DUMMYFUNCTION("LET(
  h,'Respostas ao formulário 1'!$1:$1,
  d,'Respostas ao formulário 1'!$A$2:$ZZ1000,
  proj,$A5,
  pessoa,P$1,
  padrao,""^""&amp;proj&amp;""\s*\|\s*""&amp;pessoa&amp;""\s*\([^)]*\)\s*\["",
  idx,FILTER(SEQUENCE(1,COLUMNS(h)),REGEXMATCH(h,padrao)),
  IFERROR(MEDIAN("&amp;"TOCOL(CHOOSECOLS(d,idx),1)),)
)"),"")</f>
        <v/>
      </c>
      <c r="Q5" s="9" t="str">
        <f>IFERROR(__xludf.DUMMYFUNCTION("LET(
  h,'Respostas ao formulário 1'!$1:$1,
  d,'Respostas ao formulário 1'!$A$2:$ZZ1000,
  proj,$A5,
  pessoa,Q$1,
  padrao,""^""&amp;proj&amp;""\s*\|\s*""&amp;pessoa&amp;""\s*\([^)]*\)\s*\["",
  idx,FILTER(SEQUENCE(1,COLUMNS(h)),REGEXMATCH(h,padrao)),
  IFERROR(MEDIAN("&amp;"TOCOL(CHOOSECOLS(d,idx),1)),)
)"),"")</f>
        <v/>
      </c>
      <c r="R5" s="9" t="str">
        <f>IFERROR(__xludf.DUMMYFUNCTION("LET(
  h,'Respostas ao formulário 1'!$1:$1,
  d,'Respostas ao formulário 1'!$A$2:$ZZ1000,
  proj,$A5,
  pessoa,R$1,
  padrao,""^""&amp;proj&amp;""\s*\|\s*""&amp;pessoa&amp;""\s*\([^)]*\)\s*\["",
  idx,FILTER(SEQUENCE(1,COLUMNS(h)),REGEXMATCH(h,padrao)),
  IFERROR(MEDIAN("&amp;"TOCOL(CHOOSECOLS(d,idx),1)),)
)"),"")</f>
        <v/>
      </c>
      <c r="S5" s="9" t="str">
        <f>IFERROR(__xludf.DUMMYFUNCTION("LET(
  h,'Respostas ao formulário 1'!$1:$1,
  d,'Respostas ao formulário 1'!$A$2:$ZZ1000,
  proj,$A5,
  pessoa,S$1,
  padrao,""^""&amp;proj&amp;""\s*\|\s*""&amp;pessoa&amp;""\s*\([^)]*\)\s*\["",
  idx,FILTER(SEQUENCE(1,COLUMNS(h)),REGEXMATCH(h,padrao)),
  IFERROR(MEDIAN("&amp;"TOCOL(CHOOSECOLS(d,idx),1)),)
)"),"")</f>
        <v/>
      </c>
      <c r="T5" s="9" t="str">
        <f>IFERROR(__xludf.DUMMYFUNCTION("LET(
  h,'Respostas ao formulário 1'!$1:$1,
  d,'Respostas ao formulário 1'!$A$2:$ZZ1000,
  proj,$A5,
  pessoa,T$1,
  padrao,""^""&amp;proj&amp;""\s*\|\s*""&amp;pessoa&amp;""\s*\([^)]*\)\s*\["",
  idx,FILTER(SEQUENCE(1,COLUMNS(h)),REGEXMATCH(h,padrao)),
  IFERROR(MEDIAN("&amp;"TOCOL(CHOOSECOLS(d,idx),1)),)
)"),"")</f>
        <v/>
      </c>
      <c r="U5" s="9" t="str">
        <f>IFERROR(__xludf.DUMMYFUNCTION("LET(
  h,'Respostas ao formulário 1'!$1:$1,
  d,'Respostas ao formulário 1'!$A$2:$ZZ1000,
  proj,$A5,
  pessoa,U$1,
  padrao,""^""&amp;proj&amp;""\s*\|\s*""&amp;pessoa&amp;""\s*\([^)]*\)\s*\["",
  idx,FILTER(SEQUENCE(1,COLUMNS(h)),REGEXMATCH(h,padrao)),
  IFERROR(MEDIAN("&amp;"TOCOL(CHOOSECOLS(d,idx),1)),)
)"),"")</f>
        <v/>
      </c>
      <c r="V5" s="9" t="str">
        <f>IFERROR(__xludf.DUMMYFUNCTION("LET(
  h,'Respostas ao formulário 1'!$1:$1,
  d,'Respostas ao formulário 1'!$A$2:$ZZ1000,
  proj,$A5,
  pessoa,V$1,
  padrao,""^""&amp;proj&amp;""\s*\|\s*""&amp;pessoa&amp;""\s*\([^)]*\)\s*\["",
  idx,FILTER(SEQUENCE(1,COLUMNS(h)),REGEXMATCH(h,padrao)),
  IFERROR(MEDIAN("&amp;"TOCOL(CHOOSECOLS(d,idx),1)),)
)"),"")</f>
        <v/>
      </c>
      <c r="W5" s="9" t="str">
        <f>IFERROR(__xludf.DUMMYFUNCTION("LET(
  h,'Respostas ao formulário 1'!$1:$1,
  d,'Respostas ao formulário 1'!$A$2:$ZZ1000,
  proj,$A5,
  pessoa,W$1,
  padrao,""^""&amp;proj&amp;""\s*\|\s*""&amp;pessoa&amp;""\s*\([^)]*\)\s*\["",
  idx,FILTER(SEQUENCE(1,COLUMNS(h)),REGEXMATCH(h,padrao)),
  IFERROR(MEDIAN("&amp;"TOCOL(CHOOSECOLS(d,idx),1)),)
)"),"")</f>
        <v/>
      </c>
      <c r="X5" s="9" t="str">
        <f>IFERROR(__xludf.DUMMYFUNCTION("LET(
  h,'Respostas ao formulário 1'!$1:$1,
  d,'Respostas ao formulário 1'!$A$2:$ZZ1000,
  proj,$A5,
  pessoa,X$1,
  padrao,""^""&amp;proj&amp;""\s*\|\s*""&amp;pessoa&amp;""\s*\([^)]*\)\s*\["",
  idx,FILTER(SEQUENCE(1,COLUMNS(h)),REGEXMATCH(h,padrao)),
  IFERROR(MEDIAN("&amp;"TOCOL(CHOOSECOLS(d,idx),1)),)
)"),"")</f>
        <v/>
      </c>
      <c r="Y5" s="9" t="str">
        <f>IFERROR(__xludf.DUMMYFUNCTION("LET(
  h,'Respostas ao formulário 1'!$1:$1,
  d,'Respostas ao formulário 1'!$A$2:$ZZ1000,
  proj,$A5,
  pessoa,Y$1,
  padrao,""^""&amp;proj&amp;""\s*\|\s*""&amp;pessoa&amp;""\s*\([^)]*\)\s*\["",
  idx,FILTER(SEQUENCE(1,COLUMNS(h)),REGEXMATCH(h,padrao)),
  IFERROR(MEDIAN("&amp;"TOCOL(CHOOSECOLS(d,idx),1)),)
)"),"")</f>
        <v/>
      </c>
      <c r="Z5" s="9" t="str">
        <f>IFERROR(__xludf.DUMMYFUNCTION("LET(
  h,'Respostas ao formulário 1'!$1:$1,
  d,'Respostas ao formulário 1'!$A$2:$ZZ1000,
  proj,$A5,
  pessoa,Z$1,
  padrao,""^""&amp;proj&amp;""\s*\|\s*""&amp;pessoa&amp;""\s*\([^)]*\)\s*\["",
  idx,FILTER(SEQUENCE(1,COLUMNS(h)),REGEXMATCH(h,padrao)),
  IFERROR(MEDIAN("&amp;"TOCOL(CHOOSECOLS(d,idx),1)),)
)"),"")</f>
        <v/>
      </c>
      <c r="AB5" s="9" t="str">
        <f>IFERROR(__xludf.DUMMYFUNCTION("LET(
  h,'Respostas ao formulário 1'!$1:$1,
  d,'Respostas ao formulário 1'!$A$2:$ZZ1000,
  proj,$A5,
  pessoa,AB$1,
  padrao,""^""&amp;proj&amp;""\s*\|\s*""&amp;pessoa&amp;""\s*\([^)]*\)\s*\["",
  idx,FILTER(SEQUENCE(1,COLUMNS(h)),REGEXMATCH(h,padrao)),
  IFERROR(MEDIAN"&amp;"(TOCOL(CHOOSECOLS(d,idx),1)),)
)"),"")</f>
        <v/>
      </c>
      <c r="AC5" s="9" t="str">
        <f>IFERROR(__xludf.DUMMYFUNCTION("AVERAGE(FILTER(B5:AB5, B5:AB5&lt;&gt;""""))"),"#N/A")</f>
        <v>#N/A</v>
      </c>
    </row>
    <row r="6">
      <c r="A6" s="13" t="s">
        <v>571</v>
      </c>
      <c r="B6" s="9" t="str">
        <f>IFERROR(__xludf.DUMMYFUNCTION("LET(
  h,'Respostas ao formulário 1'!$1:$1,
  d,'Respostas ao formulário 1'!$A$2:$ZZ1000,
  proj,$A6,
  pessoa,B$1,
  padrao,""^""&amp;proj&amp;""\s*\|\s*""&amp;pessoa&amp;""\s*\([^)]*\)\s*\["",
  idx,FILTER(SEQUENCE(1,COLUMNS(h)),REGEXMATCH(h,padrao)),
  IFERROR(MEDIAN("&amp;"TOCOL(CHOOSECOLS(d,idx),1)),)
)"),"")</f>
        <v/>
      </c>
      <c r="C6" s="9">
        <f>IFERROR(__xludf.DUMMYFUNCTION("LET(
  h,'Respostas ao formulário 1'!$1:$1,
  d,'Respostas ao formulário 1'!$A$2:$ZZ1000,
  proj,$A6,
  pessoa,C$1,
  padrao,""^""&amp;proj&amp;""\s*\|\s*""&amp;pessoa&amp;""\s*\([^)]*\)\s*\["",
  idx,FILTER(SEQUENCE(1,COLUMNS(h)),REGEXMATCH(h,padrao)),
  IFERROR(MEDIAN("&amp;"TOCOL(CHOOSECOLS(d,idx),1)),)
)"),3.0)</f>
        <v>3</v>
      </c>
      <c r="D6" s="9" t="str">
        <f>IFERROR(__xludf.DUMMYFUNCTION("LET(
  h,'Respostas ao formulário 1'!$1:$1,
  d,'Respostas ao formulário 1'!$A$2:$ZZ1000,
  proj,$A6,
  pessoa,D$1,
  padrao,""^""&amp;proj&amp;""\s*\|\s*""&amp;pessoa&amp;""\s*\([^)]*\)\s*\["",
  idx,FILTER(SEQUENCE(1,COLUMNS(h)),REGEXMATCH(h,padrao)),
  IFERROR(MEDIAN("&amp;"TOCOL(CHOOSECOLS(d,idx),1)),)
)"),"")</f>
        <v/>
      </c>
      <c r="E6" s="9" t="str">
        <f>IFERROR(__xludf.DUMMYFUNCTION("LET(
  h,'Respostas ao formulário 1'!$1:$1,
  d,'Respostas ao formulário 1'!$A$2:$ZZ1000,
  proj,$A6,
  pessoa,E$1,
  padrao,""^""&amp;proj&amp;""\s*\|\s*""&amp;pessoa&amp;""\s*\([^)]*\)\s*\["",
  idx,FILTER(SEQUENCE(1,COLUMNS(h)),REGEXMATCH(h,padrao)),
  IFERROR(MEDIAN("&amp;"TOCOL(CHOOSECOLS(d,idx),1)),)
)"),"")</f>
        <v/>
      </c>
      <c r="F6" s="9">
        <f>IFERROR(__xludf.DUMMYFUNCTION("LET(
  h,'Respostas ao formulário 1'!$1:$1,
  d,'Respostas ao formulário 1'!$A$2:$ZZ1000,
  proj,$A6,
  pessoa,F$1,
  padrao,""^""&amp;proj&amp;""\s*\|\s*""&amp;pessoa&amp;""\s*\([^)]*\)\s*\["",
  idx,FILTER(SEQUENCE(1,COLUMNS(h)),REGEXMATCH(h,padrao)),
  IFERROR(MEDIAN("&amp;"TOCOL(CHOOSECOLS(d,idx),1)),)
)"),3.0)</f>
        <v>3</v>
      </c>
      <c r="G6" s="9">
        <f>IFERROR(__xludf.DUMMYFUNCTION("LET(
  h,'Respostas ao formulário 1'!$1:$1,
  d,'Respostas ao formulário 1'!$A$2:$ZZ1000,
  proj,$A6,
  pessoa,G$1,
  padrao,""^""&amp;proj&amp;""\s*\|\s*""&amp;pessoa&amp;""\s*\([^)]*\)\s*\["",
  idx,FILTER(SEQUENCE(1,COLUMNS(h)),REGEXMATCH(h,padrao)),
  IFERROR(MEDIAN("&amp;"TOCOL(CHOOSECOLS(d,idx),1)),)
)"),3.0)</f>
        <v>3</v>
      </c>
      <c r="H6" s="9" t="str">
        <f>IFERROR(__xludf.DUMMYFUNCTION("LET(
  h,'Respostas ao formulário 1'!$1:$1,
  d,'Respostas ao formulário 1'!$A$2:$ZZ1000,
  proj,$A6,
  pessoa,H$1,
  padrao,""^""&amp;proj&amp;""\s*\|\s*""&amp;pessoa&amp;""\s*\([^)]*\)\s*\["",
  idx,FILTER(SEQUENCE(1,COLUMNS(h)),REGEXMATCH(h,padrao)),
  IFERROR(MEDIAN("&amp;"TOCOL(CHOOSECOLS(d,idx),1)),)
)"),"")</f>
        <v/>
      </c>
      <c r="I6" s="9" t="str">
        <f>IFERROR(__xludf.DUMMYFUNCTION("LET(
  h,'Respostas ao formulário 1'!$1:$1,
  d,'Respostas ao formulário 1'!$A$2:$ZZ1000,
  proj,$A6,
  pessoa,I$1,
  padrao,""^""&amp;proj&amp;""\s*\|\s*""&amp;pessoa&amp;""\s*\([^)]*\)\s*\["",
  idx,FILTER(SEQUENCE(1,COLUMNS(h)),REGEXMATCH(h,padrao)),
  IFERROR(MEDIAN("&amp;"TOCOL(CHOOSECOLS(d,idx),1)),)
)"),"")</f>
        <v/>
      </c>
      <c r="J6" s="9" t="str">
        <f>IFERROR(__xludf.DUMMYFUNCTION("LET(
  h,'Respostas ao formulário 1'!$1:$1,
  d,'Respostas ao formulário 1'!$A$2:$ZZ1000,
  proj,$A6,
  pessoa,J$1,
  padrao,""^""&amp;proj&amp;""\s*\|\s*""&amp;pessoa&amp;""\s*\([^)]*\)\s*\["",
  idx,FILTER(SEQUENCE(1,COLUMNS(h)),REGEXMATCH(h,padrao)),
  IFERROR(MEDIAN("&amp;"TOCOL(CHOOSECOLS(d,idx),1)),)
)"),"")</f>
        <v/>
      </c>
      <c r="K6" s="9" t="str">
        <f>IFERROR(__xludf.DUMMYFUNCTION("LET(
  h,'Respostas ao formulário 1'!$1:$1,
  d,'Respostas ao formulário 1'!$A$2:$ZZ1000,
  proj,$A6,
  pessoa,K$1,
  padrao,""^""&amp;proj&amp;""\s*\|\s*""&amp;pessoa&amp;""\s*\([^)]*\)\s*\["",
  idx,FILTER(SEQUENCE(1,COLUMNS(h)),REGEXMATCH(h,padrao)),
  IFERROR(MEDIAN("&amp;"TOCOL(CHOOSECOLS(d,idx),1)),)
)"),"")</f>
        <v/>
      </c>
      <c r="L6" s="9" t="str">
        <f>IFERROR(__xludf.DUMMYFUNCTION("LET(
  h,'Respostas ao formulário 1'!$1:$1,
  d,'Respostas ao formulário 1'!$A$2:$ZZ1000,
  proj,$A6,
  pessoa,L$1,
  padrao,""^""&amp;proj&amp;""\s*\|\s*""&amp;pessoa&amp;""\s*\([^)]*\)\s*\["",
  idx,FILTER(SEQUENCE(1,COLUMNS(h)),REGEXMATCH(h,padrao)),
  IFERROR(MEDIAN("&amp;"TOCOL(CHOOSECOLS(d,idx),1)),)
)"),"")</f>
        <v/>
      </c>
      <c r="M6" s="9" t="str">
        <f>IFERROR(__xludf.DUMMYFUNCTION("LET(
  h,'Respostas ao formulário 1'!$1:$1,
  d,'Respostas ao formulário 1'!$A$2:$ZZ1000,
  proj,$A6,
  pessoa,M$1,
  padrao,""^""&amp;proj&amp;""\s*\|\s*""&amp;pessoa&amp;""\s*\([^)]*\)\s*\["",
  idx,FILTER(SEQUENCE(1,COLUMNS(h)),REGEXMATCH(h,padrao)),
  IFERROR(MEDIAN("&amp;"TOCOL(CHOOSECOLS(d,idx),1)),)
)"),"")</f>
        <v/>
      </c>
      <c r="N6" s="9" t="str">
        <f>IFERROR(__xludf.DUMMYFUNCTION("LET(
  h,'Respostas ao formulário 1'!$1:$1,
  d,'Respostas ao formulário 1'!$A$2:$ZZ1000,
  proj,$A6,
  pessoa,N$1,
  padrao,""^""&amp;proj&amp;""\s*\|\s*""&amp;pessoa&amp;""\s*\([^)]*\)\s*\["",
  idx,FILTER(SEQUENCE(1,COLUMNS(h)),REGEXMATCH(h,padrao)),
  IFERROR(MEDIAN("&amp;"TOCOL(CHOOSECOLS(d,idx),1)),)
)"),"")</f>
        <v/>
      </c>
      <c r="O6" s="9">
        <f>IFERROR(__xludf.DUMMYFUNCTION("LET(
  h,'Respostas ao formulário 1'!$1:$1,
  d,'Respostas ao formulário 1'!$A$2:$ZZ1000,
  proj,$A6,
  pessoa,O$1,
  padrao,""^""&amp;proj&amp;""\s*\|\s*""&amp;pessoa&amp;""\s*\([^)]*\)\s*\["",
  idx,FILTER(SEQUENCE(1,COLUMNS(h)),REGEXMATCH(h,padrao)),
  IFERROR(MEDIAN("&amp;"TOCOL(CHOOSECOLS(d,idx),1)),)
)"),2.0)</f>
        <v>2</v>
      </c>
      <c r="P6" s="9" t="str">
        <f>IFERROR(__xludf.DUMMYFUNCTION("LET(
  h,'Respostas ao formulário 1'!$1:$1,
  d,'Respostas ao formulário 1'!$A$2:$ZZ1000,
  proj,$A6,
  pessoa,P$1,
  padrao,""^""&amp;proj&amp;""\s*\|\s*""&amp;pessoa&amp;""\s*\([^)]*\)\s*\["",
  idx,FILTER(SEQUENCE(1,COLUMNS(h)),REGEXMATCH(h,padrao)),
  IFERROR(MEDIAN("&amp;"TOCOL(CHOOSECOLS(d,idx),1)),)
)"),"")</f>
        <v/>
      </c>
      <c r="Q6" s="9">
        <f>IFERROR(__xludf.DUMMYFUNCTION("LET(
  h,'Respostas ao formulário 1'!$1:$1,
  d,'Respostas ao formulário 1'!$A$2:$ZZ1000,
  proj,$A6,
  pessoa,Q$1,
  padrao,""^""&amp;proj&amp;""\s*\|\s*""&amp;pessoa&amp;""\s*\([^)]*\)\s*\["",
  idx,FILTER(SEQUENCE(1,COLUMNS(h)),REGEXMATCH(h,padrao)),
  IFERROR(MEDIAN("&amp;"TOCOL(CHOOSECOLS(d,idx),1)),)
)"),2.0)</f>
        <v>2</v>
      </c>
      <c r="R6" s="9" t="str">
        <f>IFERROR(__xludf.DUMMYFUNCTION("LET(
  h,'Respostas ao formulário 1'!$1:$1,
  d,'Respostas ao formulário 1'!$A$2:$ZZ1000,
  proj,$A6,
  pessoa,R$1,
  padrao,""^""&amp;proj&amp;""\s*\|\s*""&amp;pessoa&amp;""\s*\([^)]*\)\s*\["",
  idx,FILTER(SEQUENCE(1,COLUMNS(h)),REGEXMATCH(h,padrao)),
  IFERROR(MEDIAN("&amp;"TOCOL(CHOOSECOLS(d,idx),1)),)
)"),"")</f>
        <v/>
      </c>
      <c r="S6" s="9" t="str">
        <f>IFERROR(__xludf.DUMMYFUNCTION("LET(
  h,'Respostas ao formulário 1'!$1:$1,
  d,'Respostas ao formulário 1'!$A$2:$ZZ1000,
  proj,$A6,
  pessoa,S$1,
  padrao,""^""&amp;proj&amp;""\s*\|\s*""&amp;pessoa&amp;""\s*\([^)]*\)\s*\["",
  idx,FILTER(SEQUENCE(1,COLUMNS(h)),REGEXMATCH(h,padrao)),
  IFERROR(MEDIAN("&amp;"TOCOL(CHOOSECOLS(d,idx),1)),)
)"),"")</f>
        <v/>
      </c>
      <c r="T6" s="9" t="str">
        <f>IFERROR(__xludf.DUMMYFUNCTION("LET(
  h,'Respostas ao formulário 1'!$1:$1,
  d,'Respostas ao formulário 1'!$A$2:$ZZ1000,
  proj,$A6,
  pessoa,T$1,
  padrao,""^""&amp;proj&amp;""\s*\|\s*""&amp;pessoa&amp;""\s*\([^)]*\)\s*\["",
  idx,FILTER(SEQUENCE(1,COLUMNS(h)),REGEXMATCH(h,padrao)),
  IFERROR(MEDIAN("&amp;"TOCOL(CHOOSECOLS(d,idx),1)),)
)"),"")</f>
        <v/>
      </c>
      <c r="U6" s="9">
        <f>IFERROR(__xludf.DUMMYFUNCTION("LET(
  h,'Respostas ao formulário 1'!$1:$1,
  d,'Respostas ao formulário 1'!$A$2:$ZZ1000,
  proj,$A6,
  pessoa,U$1,
  padrao,""^""&amp;proj&amp;""\s*\|\s*""&amp;pessoa&amp;""\s*\([^)]*\)\s*\["",
  idx,FILTER(SEQUENCE(1,COLUMNS(h)),REGEXMATCH(h,padrao)),
  IFERROR(MEDIAN("&amp;"TOCOL(CHOOSECOLS(d,idx),1)),)
)"),3.0)</f>
        <v>3</v>
      </c>
      <c r="V6" s="9" t="str">
        <f>IFERROR(__xludf.DUMMYFUNCTION("LET(
  h,'Respostas ao formulário 1'!$1:$1,
  d,'Respostas ao formulário 1'!$A$2:$ZZ1000,
  proj,$A6,
  pessoa,V$1,
  padrao,""^""&amp;proj&amp;""\s*\|\s*""&amp;pessoa&amp;""\s*\([^)]*\)\s*\["",
  idx,FILTER(SEQUENCE(1,COLUMNS(h)),REGEXMATCH(h,padrao)),
  IFERROR(MEDIAN("&amp;"TOCOL(CHOOSECOLS(d,idx),1)),)
)"),"")</f>
        <v/>
      </c>
      <c r="W6" s="9" t="str">
        <f>IFERROR(__xludf.DUMMYFUNCTION("LET(
  h,'Respostas ao formulário 1'!$1:$1,
  d,'Respostas ao formulário 1'!$A$2:$ZZ1000,
  proj,$A6,
  pessoa,W$1,
  padrao,""^""&amp;proj&amp;""\s*\|\s*""&amp;pessoa&amp;""\s*\([^)]*\)\s*\["",
  idx,FILTER(SEQUENCE(1,COLUMNS(h)),REGEXMATCH(h,padrao)),
  IFERROR(MEDIAN("&amp;"TOCOL(CHOOSECOLS(d,idx),1)),)
)"),"")</f>
        <v/>
      </c>
      <c r="X6" s="9" t="str">
        <f>IFERROR(__xludf.DUMMYFUNCTION("LET(
  h,'Respostas ao formulário 1'!$1:$1,
  d,'Respostas ao formulário 1'!$A$2:$ZZ1000,
  proj,$A6,
  pessoa,X$1,
  padrao,""^""&amp;proj&amp;""\s*\|\s*""&amp;pessoa&amp;""\s*\([^)]*\)\s*\["",
  idx,FILTER(SEQUENCE(1,COLUMNS(h)),REGEXMATCH(h,padrao)),
  IFERROR(MEDIAN("&amp;"TOCOL(CHOOSECOLS(d,idx),1)),)
)"),"")</f>
        <v/>
      </c>
      <c r="Y6" s="9" t="str">
        <f>IFERROR(__xludf.DUMMYFUNCTION("LET(
  h,'Respostas ao formulário 1'!$1:$1,
  d,'Respostas ao formulário 1'!$A$2:$ZZ1000,
  proj,$A6,
  pessoa,Y$1,
  padrao,""^""&amp;proj&amp;""\s*\|\s*""&amp;pessoa&amp;""\s*\([^)]*\)\s*\["",
  idx,FILTER(SEQUENCE(1,COLUMNS(h)),REGEXMATCH(h,padrao)),
  IFERROR(MEDIAN("&amp;"TOCOL(CHOOSECOLS(d,idx),1)),)
)"),"")</f>
        <v/>
      </c>
      <c r="Z6" s="9" t="str">
        <f>IFERROR(__xludf.DUMMYFUNCTION("LET(
  h,'Respostas ao formulário 1'!$1:$1,
  d,'Respostas ao formulário 1'!$A$2:$ZZ1000,
  proj,$A6,
  pessoa,Z$1,
  padrao,""^""&amp;proj&amp;""\s*\|\s*""&amp;pessoa&amp;""\s*\([^)]*\)\s*\["",
  idx,FILTER(SEQUENCE(1,COLUMNS(h)),REGEXMATCH(h,padrao)),
  IFERROR(MEDIAN("&amp;"TOCOL(CHOOSECOLS(d,idx),1)),)
)"),"")</f>
        <v/>
      </c>
      <c r="AB6" s="9">
        <f>IFERROR(__xludf.DUMMYFUNCTION("LET(
  h,'Respostas ao formulário 1'!$1:$1,
  d,'Respostas ao formulário 1'!$A$2:$ZZ1000,
  proj,$A6,
  pessoa,AB$1,
  padrao,""^""&amp;proj&amp;""\s*\|\s*""&amp;pessoa&amp;""\s*\([^)]*\)\s*\["",
  idx,FILTER(SEQUENCE(1,COLUMNS(h)),REGEXMATCH(h,padrao)),
  IFERROR(MEDIAN"&amp;"(TOCOL(CHOOSECOLS(d,idx),1)),)
)"),3.0)</f>
        <v>3</v>
      </c>
      <c r="AC6" s="9">
        <f>IFERROR(__xludf.DUMMYFUNCTION("AVERAGE(FILTER(B6:AB6, B6:AB6&lt;&gt;""""))"),2.7142857142857144)</f>
        <v>2.714285714</v>
      </c>
    </row>
    <row r="7">
      <c r="A7" s="13" t="s">
        <v>579</v>
      </c>
      <c r="B7" s="9" t="str">
        <f>IFERROR(__xludf.DUMMYFUNCTION("LET(
  h,'Respostas ao formulário 1'!$1:$1,
  d,'Respostas ao formulário 1'!$A$2:$ZZ1000,
  proj,$A7,
  pessoa,B$1,
  padrao,""^""&amp;proj&amp;""\s*\|\s*""&amp;pessoa&amp;""\s*\([^)]*\)\s*\["",
  idx,FILTER(SEQUENCE(1,COLUMNS(h)),REGEXMATCH(h,padrao)),
  IFERROR(MEDIAN("&amp;"TOCOL(CHOOSECOLS(d,idx),1)),)
)"),"")</f>
        <v/>
      </c>
      <c r="C7" s="9" t="str">
        <f>IFERROR(__xludf.DUMMYFUNCTION("LET(
  h,'Respostas ao formulário 1'!$1:$1,
  d,'Respostas ao formulário 1'!$A$2:$ZZ1000,
  proj,$A7,
  pessoa,C$1,
  padrao,""^""&amp;proj&amp;""\s*\|\s*""&amp;pessoa&amp;""\s*\([^)]*\)\s*\["",
  idx,FILTER(SEQUENCE(1,COLUMNS(h)),REGEXMATCH(h,padrao)),
  IFERROR(MEDIAN("&amp;"TOCOL(CHOOSECOLS(d,idx),1)),)
)"),"")</f>
        <v/>
      </c>
      <c r="D7" s="9" t="str">
        <f>IFERROR(__xludf.DUMMYFUNCTION("LET(
  h,'Respostas ao formulário 1'!$1:$1,
  d,'Respostas ao formulário 1'!$A$2:$ZZ1000,
  proj,$A7,
  pessoa,D$1,
  padrao,""^""&amp;proj&amp;""\s*\|\s*""&amp;pessoa&amp;""\s*\([^)]*\)\s*\["",
  idx,FILTER(SEQUENCE(1,COLUMNS(h)),REGEXMATCH(h,padrao)),
  IFERROR(MEDIAN("&amp;"TOCOL(CHOOSECOLS(d,idx),1)),)
)"),"")</f>
        <v/>
      </c>
      <c r="E7" s="9">
        <f>IFERROR(__xludf.DUMMYFUNCTION("LET(
  h,'Respostas ao formulário 1'!$1:$1,
  d,'Respostas ao formulário 1'!$A$2:$ZZ1000,
  proj,$A7,
  pessoa,E$1,
  padrao,""^""&amp;proj&amp;""\s*\|\s*""&amp;pessoa&amp;""\s*\([^)]*\)\s*\["",
  idx,FILTER(SEQUENCE(1,COLUMNS(h)),REGEXMATCH(h,padrao)),
  IFERROR(MEDIAN("&amp;"TOCOL(CHOOSECOLS(d,idx),1)),)
)"),3.0)</f>
        <v>3</v>
      </c>
      <c r="F7" s="9" t="str">
        <f>IFERROR(__xludf.DUMMYFUNCTION("LET(
  h,'Respostas ao formulário 1'!$1:$1,
  d,'Respostas ao formulário 1'!$A$2:$ZZ1000,
  proj,$A7,
  pessoa,F$1,
  padrao,""^""&amp;proj&amp;""\s*\|\s*""&amp;pessoa&amp;""\s*\([^)]*\)\s*\["",
  idx,FILTER(SEQUENCE(1,COLUMNS(h)),REGEXMATCH(h,padrao)),
  IFERROR(MEDIAN("&amp;"TOCOL(CHOOSECOLS(d,idx),1)),)
)"),"")</f>
        <v/>
      </c>
      <c r="G7" s="9" t="str">
        <f>IFERROR(__xludf.DUMMYFUNCTION("LET(
  h,'Respostas ao formulário 1'!$1:$1,
  d,'Respostas ao formulário 1'!$A$2:$ZZ1000,
  proj,$A7,
  pessoa,G$1,
  padrao,""^""&amp;proj&amp;""\s*\|\s*""&amp;pessoa&amp;""\s*\([^)]*\)\s*\["",
  idx,FILTER(SEQUENCE(1,COLUMNS(h)),REGEXMATCH(h,padrao)),
  IFERROR(MEDIAN("&amp;"TOCOL(CHOOSECOLS(d,idx),1)),)
)"),"")</f>
        <v/>
      </c>
      <c r="H7" s="9" t="str">
        <f>IFERROR(__xludf.DUMMYFUNCTION("LET(
  h,'Respostas ao formulário 1'!$1:$1,
  d,'Respostas ao formulário 1'!$A$2:$ZZ1000,
  proj,$A7,
  pessoa,H$1,
  padrao,""^""&amp;proj&amp;""\s*\|\s*""&amp;pessoa&amp;""\s*\([^)]*\)\s*\["",
  idx,FILTER(SEQUENCE(1,COLUMNS(h)),REGEXMATCH(h,padrao)),
  IFERROR(MEDIAN("&amp;"TOCOL(CHOOSECOLS(d,idx),1)),)
)"),"")</f>
        <v/>
      </c>
      <c r="I7" s="9" t="str">
        <f>IFERROR(__xludf.DUMMYFUNCTION("LET(
  h,'Respostas ao formulário 1'!$1:$1,
  d,'Respostas ao formulário 1'!$A$2:$ZZ1000,
  proj,$A7,
  pessoa,I$1,
  padrao,""^""&amp;proj&amp;""\s*\|\s*""&amp;pessoa&amp;""\s*\([^)]*\)\s*\["",
  idx,FILTER(SEQUENCE(1,COLUMNS(h)),REGEXMATCH(h,padrao)),
  IFERROR(MEDIAN("&amp;"TOCOL(CHOOSECOLS(d,idx),1)),)
)"),"")</f>
        <v/>
      </c>
      <c r="J7" s="9">
        <f>IFERROR(__xludf.DUMMYFUNCTION("LET(
  h,'Respostas ao formulário 1'!$1:$1,
  d,'Respostas ao formulário 1'!$A$2:$ZZ1000,
  proj,$A7,
  pessoa,J$1,
  padrao,""^""&amp;proj&amp;""\s*\|\s*""&amp;pessoa&amp;""\s*\([^)]*\)\s*\["",
  idx,FILTER(SEQUENCE(1,COLUMNS(h)),REGEXMATCH(h,padrao)),
  IFERROR(MEDIAN("&amp;"TOCOL(CHOOSECOLS(d,idx),1)),)
)"),3.0)</f>
        <v>3</v>
      </c>
      <c r="K7" s="9" t="str">
        <f>IFERROR(__xludf.DUMMYFUNCTION("LET(
  h,'Respostas ao formulário 1'!$1:$1,
  d,'Respostas ao formulário 1'!$A$2:$ZZ1000,
  proj,$A7,
  pessoa,K$1,
  padrao,""^""&amp;proj&amp;""\s*\|\s*""&amp;pessoa&amp;""\s*\([^)]*\)\s*\["",
  idx,FILTER(SEQUENCE(1,COLUMNS(h)),REGEXMATCH(h,padrao)),
  IFERROR(MEDIAN("&amp;"TOCOL(CHOOSECOLS(d,idx),1)),)
)"),"")</f>
        <v/>
      </c>
      <c r="L7" s="9" t="str">
        <f>IFERROR(__xludf.DUMMYFUNCTION("LET(
  h,'Respostas ao formulário 1'!$1:$1,
  d,'Respostas ao formulário 1'!$A$2:$ZZ1000,
  proj,$A7,
  pessoa,L$1,
  padrao,""^""&amp;proj&amp;""\s*\|\s*""&amp;pessoa&amp;""\s*\([^)]*\)\s*\["",
  idx,FILTER(SEQUENCE(1,COLUMNS(h)),REGEXMATCH(h,padrao)),
  IFERROR(MEDIAN("&amp;"TOCOL(CHOOSECOLS(d,idx),1)),)
)"),"")</f>
        <v/>
      </c>
      <c r="M7" s="9">
        <f>IFERROR(__xludf.DUMMYFUNCTION("LET(
  h,'Respostas ao formulário 1'!$1:$1,
  d,'Respostas ao formulário 1'!$A$2:$ZZ1000,
  proj,$A7,
  pessoa,M$1,
  padrao,""^""&amp;proj&amp;""\s*\|\s*""&amp;pessoa&amp;""\s*\([^)]*\)\s*\["",
  idx,FILTER(SEQUENCE(1,COLUMNS(h)),REGEXMATCH(h,padrao)),
  IFERROR(MEDIAN("&amp;"TOCOL(CHOOSECOLS(d,idx),1)),)
)"),3.0)</f>
        <v>3</v>
      </c>
      <c r="N7" s="9" t="str">
        <f>IFERROR(__xludf.DUMMYFUNCTION("LET(
  h,'Respostas ao formulário 1'!$1:$1,
  d,'Respostas ao formulário 1'!$A$2:$ZZ1000,
  proj,$A7,
  pessoa,N$1,
  padrao,""^""&amp;proj&amp;""\s*\|\s*""&amp;pessoa&amp;""\s*\([^)]*\)\s*\["",
  idx,FILTER(SEQUENCE(1,COLUMNS(h)),REGEXMATCH(h,padrao)),
  IFERROR(MEDIAN("&amp;"TOCOL(CHOOSECOLS(d,idx),1)),)
)"),"")</f>
        <v/>
      </c>
      <c r="O7" s="9" t="str">
        <f>IFERROR(__xludf.DUMMYFUNCTION("LET(
  h,'Respostas ao formulário 1'!$1:$1,
  d,'Respostas ao formulário 1'!$A$2:$ZZ1000,
  proj,$A7,
  pessoa,O$1,
  padrao,""^""&amp;proj&amp;""\s*\|\s*""&amp;pessoa&amp;""\s*\([^)]*\)\s*\["",
  idx,FILTER(SEQUENCE(1,COLUMNS(h)),REGEXMATCH(h,padrao)),
  IFERROR(MEDIAN("&amp;"TOCOL(CHOOSECOLS(d,idx),1)),)
)"),"")</f>
        <v/>
      </c>
      <c r="P7" s="9" t="str">
        <f>IFERROR(__xludf.DUMMYFUNCTION("LET(
  h,'Respostas ao formulário 1'!$1:$1,
  d,'Respostas ao formulário 1'!$A$2:$ZZ1000,
  proj,$A7,
  pessoa,P$1,
  padrao,""^""&amp;proj&amp;""\s*\|\s*""&amp;pessoa&amp;""\s*\([^)]*\)\s*\["",
  idx,FILTER(SEQUENCE(1,COLUMNS(h)),REGEXMATCH(h,padrao)),
  IFERROR(MEDIAN("&amp;"TOCOL(CHOOSECOLS(d,idx),1)),)
)"),"")</f>
        <v/>
      </c>
      <c r="Q7" s="9" t="str">
        <f>IFERROR(__xludf.DUMMYFUNCTION("LET(
  h,'Respostas ao formulário 1'!$1:$1,
  d,'Respostas ao formulário 1'!$A$2:$ZZ1000,
  proj,$A7,
  pessoa,Q$1,
  padrao,""^""&amp;proj&amp;""\s*\|\s*""&amp;pessoa&amp;""\s*\([^)]*\)\s*\["",
  idx,FILTER(SEQUENCE(1,COLUMNS(h)),REGEXMATCH(h,padrao)),
  IFERROR(MEDIAN("&amp;"TOCOL(CHOOSECOLS(d,idx),1)),)
)"),"")</f>
        <v/>
      </c>
      <c r="R7" s="9" t="str">
        <f>IFERROR(__xludf.DUMMYFUNCTION("LET(
  h,'Respostas ao formulário 1'!$1:$1,
  d,'Respostas ao formulário 1'!$A$2:$ZZ1000,
  proj,$A7,
  pessoa,R$1,
  padrao,""^""&amp;proj&amp;""\s*\|\s*""&amp;pessoa&amp;""\s*\([^)]*\)\s*\["",
  idx,FILTER(SEQUENCE(1,COLUMNS(h)),REGEXMATCH(h,padrao)),
  IFERROR(MEDIAN("&amp;"TOCOL(CHOOSECOLS(d,idx),1)),)
)"),"")</f>
        <v/>
      </c>
      <c r="S7" s="9" t="str">
        <f>IFERROR(__xludf.DUMMYFUNCTION("LET(
  h,'Respostas ao formulário 1'!$1:$1,
  d,'Respostas ao formulário 1'!$A$2:$ZZ1000,
  proj,$A7,
  pessoa,S$1,
  padrao,""^""&amp;proj&amp;""\s*\|\s*""&amp;pessoa&amp;""\s*\([^)]*\)\s*\["",
  idx,FILTER(SEQUENCE(1,COLUMNS(h)),REGEXMATCH(h,padrao)),
  IFERROR(MEDIAN("&amp;"TOCOL(CHOOSECOLS(d,idx),1)),)
)"),"")</f>
        <v/>
      </c>
      <c r="T7" s="9" t="str">
        <f>IFERROR(__xludf.DUMMYFUNCTION("LET(
  h,'Respostas ao formulário 1'!$1:$1,
  d,'Respostas ao formulário 1'!$A$2:$ZZ1000,
  proj,$A7,
  pessoa,T$1,
  padrao,""^""&amp;proj&amp;""\s*\|\s*""&amp;pessoa&amp;""\s*\([^)]*\)\s*\["",
  idx,FILTER(SEQUENCE(1,COLUMNS(h)),REGEXMATCH(h,padrao)),
  IFERROR(MEDIAN("&amp;"TOCOL(CHOOSECOLS(d,idx),1)),)
)"),"")</f>
        <v/>
      </c>
      <c r="U7" s="9" t="str">
        <f>IFERROR(__xludf.DUMMYFUNCTION("LET(
  h,'Respostas ao formulário 1'!$1:$1,
  d,'Respostas ao formulário 1'!$A$2:$ZZ1000,
  proj,$A7,
  pessoa,U$1,
  padrao,""^""&amp;proj&amp;""\s*\|\s*""&amp;pessoa&amp;""\s*\([^)]*\)\s*\["",
  idx,FILTER(SEQUENCE(1,COLUMNS(h)),REGEXMATCH(h,padrao)),
  IFERROR(MEDIAN("&amp;"TOCOL(CHOOSECOLS(d,idx),1)),)
)"),"")</f>
        <v/>
      </c>
      <c r="V7" s="9">
        <f>IFERROR(__xludf.DUMMYFUNCTION("LET(
  h,'Respostas ao formulário 1'!$1:$1,
  d,'Respostas ao formulário 1'!$A$2:$ZZ1000,
  proj,$A7,
  pessoa,V$1,
  padrao,""^""&amp;proj&amp;""\s*\|\s*""&amp;pessoa&amp;""\s*\([^)]*\)\s*\["",
  idx,FILTER(SEQUENCE(1,COLUMNS(h)),REGEXMATCH(h,padrao)),
  IFERROR(MEDIAN("&amp;"TOCOL(CHOOSECOLS(d,idx),1)),)
)"),3.0)</f>
        <v>3</v>
      </c>
      <c r="W7" s="9" t="str">
        <f>IFERROR(__xludf.DUMMYFUNCTION("LET(
  h,'Respostas ao formulário 1'!$1:$1,
  d,'Respostas ao formulário 1'!$A$2:$ZZ1000,
  proj,$A7,
  pessoa,W$1,
  padrao,""^""&amp;proj&amp;""\s*\|\s*""&amp;pessoa&amp;""\s*\([^)]*\)\s*\["",
  idx,FILTER(SEQUENCE(1,COLUMNS(h)),REGEXMATCH(h,padrao)),
  IFERROR(MEDIAN("&amp;"TOCOL(CHOOSECOLS(d,idx),1)),)
)"),"")</f>
        <v/>
      </c>
      <c r="X7" s="9" t="str">
        <f>IFERROR(__xludf.DUMMYFUNCTION("LET(
  h,'Respostas ao formulário 1'!$1:$1,
  d,'Respostas ao formulário 1'!$A$2:$ZZ1000,
  proj,$A7,
  pessoa,X$1,
  padrao,""^""&amp;proj&amp;""\s*\|\s*""&amp;pessoa&amp;""\s*\([^)]*\)\s*\["",
  idx,FILTER(SEQUENCE(1,COLUMNS(h)),REGEXMATCH(h,padrao)),
  IFERROR(MEDIAN("&amp;"TOCOL(CHOOSECOLS(d,idx),1)),)
)"),"")</f>
        <v/>
      </c>
      <c r="Y7" s="9" t="str">
        <f>IFERROR(__xludf.DUMMYFUNCTION("LET(
  h,'Respostas ao formulário 1'!$1:$1,
  d,'Respostas ao formulário 1'!$A$2:$ZZ1000,
  proj,$A7,
  pessoa,Y$1,
  padrao,""^""&amp;proj&amp;""\s*\|\s*""&amp;pessoa&amp;""\s*\([^)]*\)\s*\["",
  idx,FILTER(SEQUENCE(1,COLUMNS(h)),REGEXMATCH(h,padrao)),
  IFERROR(MEDIAN("&amp;"TOCOL(CHOOSECOLS(d,idx),1)),)
)"),"")</f>
        <v/>
      </c>
      <c r="Z7" s="9" t="str">
        <f>IFERROR(__xludf.DUMMYFUNCTION("LET(
  h,'Respostas ao formulário 1'!$1:$1,
  d,'Respostas ao formulário 1'!$A$2:$ZZ1000,
  proj,$A7,
  pessoa,Z$1,
  padrao,""^""&amp;proj&amp;""\s*\|\s*""&amp;pessoa&amp;""\s*\([^)]*\)\s*\["",
  idx,FILTER(SEQUENCE(1,COLUMNS(h)),REGEXMATCH(h,padrao)),
  IFERROR(MEDIAN("&amp;"TOCOL(CHOOSECOLS(d,idx),1)),)
)"),"")</f>
        <v/>
      </c>
      <c r="AB7" s="9" t="str">
        <f>IFERROR(__xludf.DUMMYFUNCTION("LET(
  h,'Respostas ao formulário 1'!$1:$1,
  d,'Respostas ao formulário 1'!$A$2:$ZZ1000,
  proj,$A7,
  pessoa,AB$1,
  padrao,""^""&amp;proj&amp;""\s*\|\s*""&amp;pessoa&amp;""\s*\([^)]*\)\s*\["",
  idx,FILTER(SEQUENCE(1,COLUMNS(h)),REGEXMATCH(h,padrao)),
  IFERROR(MEDIAN"&amp;"(TOCOL(CHOOSECOLS(d,idx),1)),)
)"),"")</f>
        <v/>
      </c>
      <c r="AC7" s="9">
        <f>IFERROR(__xludf.DUMMYFUNCTION("AVERAGE(FILTER(B7:AB7, B7:AB7&lt;&gt;""""))"),3.0)</f>
        <v>3</v>
      </c>
    </row>
    <row r="8">
      <c r="A8" s="13" t="s">
        <v>584</v>
      </c>
      <c r="B8" s="9" t="str">
        <f>IFERROR(__xludf.DUMMYFUNCTION("LET(
  h,'Respostas ao formulário 1'!$1:$1,
  d,'Respostas ao formulário 1'!$A$2:$ZZ1000,
  proj,$A8,
  pessoa,B$1,
  padrao,""^""&amp;proj&amp;""\s*\|\s*""&amp;pessoa&amp;""\s*\([^)]*\)\s*\["",
  idx,FILTER(SEQUENCE(1,COLUMNS(h)),REGEXMATCH(h,padrao)),
  IFERROR(MEDIAN("&amp;"TOCOL(CHOOSECOLS(d,idx),1)),)
)"),"")</f>
        <v/>
      </c>
      <c r="C8" s="9" t="str">
        <f>IFERROR(__xludf.DUMMYFUNCTION("LET(
  h,'Respostas ao formulário 1'!$1:$1,
  d,'Respostas ao formulário 1'!$A$2:$ZZ1000,
  proj,$A8,
  pessoa,C$1,
  padrao,""^""&amp;proj&amp;""\s*\|\s*""&amp;pessoa&amp;""\s*\([^)]*\)\s*\["",
  idx,FILTER(SEQUENCE(1,COLUMNS(h)),REGEXMATCH(h,padrao)),
  IFERROR(MEDIAN("&amp;"TOCOL(CHOOSECOLS(d,idx),1)),)
)"),"")</f>
        <v/>
      </c>
      <c r="D8" s="9" t="str">
        <f>IFERROR(__xludf.DUMMYFUNCTION("LET(
  h,'Respostas ao formulário 1'!$1:$1,
  d,'Respostas ao formulário 1'!$A$2:$ZZ1000,
  proj,$A8,
  pessoa,D$1,
  padrao,""^""&amp;proj&amp;""\s*\|\s*""&amp;pessoa&amp;""\s*\([^)]*\)\s*\["",
  idx,FILTER(SEQUENCE(1,COLUMNS(h)),REGEXMATCH(h,padrao)),
  IFERROR(MEDIAN("&amp;"TOCOL(CHOOSECOLS(d,idx),1)),)
)"),"")</f>
        <v/>
      </c>
      <c r="E8" s="9">
        <f>IFERROR(__xludf.DUMMYFUNCTION("LET(
  h,'Respostas ao formulário 1'!$1:$1,
  d,'Respostas ao formulário 1'!$A$2:$ZZ1000,
  proj,$A8,
  pessoa,E$1,
  padrao,""^""&amp;proj&amp;""\s*\|\s*""&amp;pessoa&amp;""\s*\([^)]*\)\s*\["",
  idx,FILTER(SEQUENCE(1,COLUMNS(h)),REGEXMATCH(h,padrao)),
  IFERROR(MEDIAN("&amp;"TOCOL(CHOOSECOLS(d,idx),1)),)
)"),3.0)</f>
        <v>3</v>
      </c>
      <c r="F8" s="9" t="str">
        <f>IFERROR(__xludf.DUMMYFUNCTION("LET(
  h,'Respostas ao formulário 1'!$1:$1,
  d,'Respostas ao formulário 1'!$A$2:$ZZ1000,
  proj,$A8,
  pessoa,F$1,
  padrao,""^""&amp;proj&amp;""\s*\|\s*""&amp;pessoa&amp;""\s*\([^)]*\)\s*\["",
  idx,FILTER(SEQUENCE(1,COLUMNS(h)),REGEXMATCH(h,padrao)),
  IFERROR(MEDIAN("&amp;"TOCOL(CHOOSECOLS(d,idx),1)),)
)"),"")</f>
        <v/>
      </c>
      <c r="G8" s="9" t="str">
        <f>IFERROR(__xludf.DUMMYFUNCTION("LET(
  h,'Respostas ao formulário 1'!$1:$1,
  d,'Respostas ao formulário 1'!$A$2:$ZZ1000,
  proj,$A8,
  pessoa,G$1,
  padrao,""^""&amp;proj&amp;""\s*\|\s*""&amp;pessoa&amp;""\s*\([^)]*\)\s*\["",
  idx,FILTER(SEQUENCE(1,COLUMNS(h)),REGEXMATCH(h,padrao)),
  IFERROR(MEDIAN("&amp;"TOCOL(CHOOSECOLS(d,idx),1)),)
)"),"")</f>
        <v/>
      </c>
      <c r="H8" s="9" t="str">
        <f>IFERROR(__xludf.DUMMYFUNCTION("LET(
  h,'Respostas ao formulário 1'!$1:$1,
  d,'Respostas ao formulário 1'!$A$2:$ZZ1000,
  proj,$A8,
  pessoa,H$1,
  padrao,""^""&amp;proj&amp;""\s*\|\s*""&amp;pessoa&amp;""\s*\([^)]*\)\s*\["",
  idx,FILTER(SEQUENCE(1,COLUMNS(h)),REGEXMATCH(h,padrao)),
  IFERROR(MEDIAN("&amp;"TOCOL(CHOOSECOLS(d,idx),1)),)
)"),"")</f>
        <v/>
      </c>
      <c r="I8" s="9" t="str">
        <f>IFERROR(__xludf.DUMMYFUNCTION("LET(
  h,'Respostas ao formulário 1'!$1:$1,
  d,'Respostas ao formulário 1'!$A$2:$ZZ1000,
  proj,$A8,
  pessoa,I$1,
  padrao,""^""&amp;proj&amp;""\s*\|\s*""&amp;pessoa&amp;""\s*\([^)]*\)\s*\["",
  idx,FILTER(SEQUENCE(1,COLUMNS(h)),REGEXMATCH(h,padrao)),
  IFERROR(MEDIAN("&amp;"TOCOL(CHOOSECOLS(d,idx),1)),)
)"),"")</f>
        <v/>
      </c>
      <c r="J8" s="9" t="str">
        <f>IFERROR(__xludf.DUMMYFUNCTION("LET(
  h,'Respostas ao formulário 1'!$1:$1,
  d,'Respostas ao formulário 1'!$A$2:$ZZ1000,
  proj,$A8,
  pessoa,J$1,
  padrao,""^""&amp;proj&amp;""\s*\|\s*""&amp;pessoa&amp;""\s*\([^)]*\)\s*\["",
  idx,FILTER(SEQUENCE(1,COLUMNS(h)),REGEXMATCH(h,padrao)),
  IFERROR(MEDIAN("&amp;"TOCOL(CHOOSECOLS(d,idx),1)),)
)"),"")</f>
        <v/>
      </c>
      <c r="K8" s="9" t="str">
        <f>IFERROR(__xludf.DUMMYFUNCTION("LET(
  h,'Respostas ao formulário 1'!$1:$1,
  d,'Respostas ao formulário 1'!$A$2:$ZZ1000,
  proj,$A8,
  pessoa,K$1,
  padrao,""^""&amp;proj&amp;""\s*\|\s*""&amp;pessoa&amp;""\s*\([^)]*\)\s*\["",
  idx,FILTER(SEQUENCE(1,COLUMNS(h)),REGEXMATCH(h,padrao)),
  IFERROR(MEDIAN("&amp;"TOCOL(CHOOSECOLS(d,idx),1)),)
)"),"")</f>
        <v/>
      </c>
      <c r="L8" s="9" t="str">
        <f>IFERROR(__xludf.DUMMYFUNCTION("LET(
  h,'Respostas ao formulário 1'!$1:$1,
  d,'Respostas ao formulário 1'!$A$2:$ZZ1000,
  proj,$A8,
  pessoa,L$1,
  padrao,""^""&amp;proj&amp;""\s*\|\s*""&amp;pessoa&amp;""\s*\([^)]*\)\s*\["",
  idx,FILTER(SEQUENCE(1,COLUMNS(h)),REGEXMATCH(h,padrao)),
  IFERROR(MEDIAN("&amp;"TOCOL(CHOOSECOLS(d,idx),1)),)
)"),"")</f>
        <v/>
      </c>
      <c r="M8" s="9" t="str">
        <f>IFERROR(__xludf.DUMMYFUNCTION("LET(
  h,'Respostas ao formulário 1'!$1:$1,
  d,'Respostas ao formulário 1'!$A$2:$ZZ1000,
  proj,$A8,
  pessoa,M$1,
  padrao,""^""&amp;proj&amp;""\s*\|\s*""&amp;pessoa&amp;""\s*\([^)]*\)\s*\["",
  idx,FILTER(SEQUENCE(1,COLUMNS(h)),REGEXMATCH(h,padrao)),
  IFERROR(MEDIAN("&amp;"TOCOL(CHOOSECOLS(d,idx),1)),)
)"),"")</f>
        <v/>
      </c>
      <c r="N8" s="9" t="str">
        <f>IFERROR(__xludf.DUMMYFUNCTION("LET(
  h,'Respostas ao formulário 1'!$1:$1,
  d,'Respostas ao formulário 1'!$A$2:$ZZ1000,
  proj,$A8,
  pessoa,N$1,
  padrao,""^""&amp;proj&amp;""\s*\|\s*""&amp;pessoa&amp;""\s*\([^)]*\)\s*\["",
  idx,FILTER(SEQUENCE(1,COLUMNS(h)),REGEXMATCH(h,padrao)),
  IFERROR(MEDIAN("&amp;"TOCOL(CHOOSECOLS(d,idx),1)),)
)"),"")</f>
        <v/>
      </c>
      <c r="O8" s="9" t="str">
        <f>IFERROR(__xludf.DUMMYFUNCTION("LET(
  h,'Respostas ao formulário 1'!$1:$1,
  d,'Respostas ao formulário 1'!$A$2:$ZZ1000,
  proj,$A8,
  pessoa,O$1,
  padrao,""^""&amp;proj&amp;""\s*\|\s*""&amp;pessoa&amp;""\s*\([^)]*\)\s*\["",
  idx,FILTER(SEQUENCE(1,COLUMNS(h)),REGEXMATCH(h,padrao)),
  IFERROR(MEDIAN("&amp;"TOCOL(CHOOSECOLS(d,idx),1)),)
)"),"")</f>
        <v/>
      </c>
      <c r="P8" s="9" t="str">
        <f>IFERROR(__xludf.DUMMYFUNCTION("LET(
  h,'Respostas ao formulário 1'!$1:$1,
  d,'Respostas ao formulário 1'!$A$2:$ZZ1000,
  proj,$A8,
  pessoa,P$1,
  padrao,""^""&amp;proj&amp;""\s*\|\s*""&amp;pessoa&amp;""\s*\([^)]*\)\s*\["",
  idx,FILTER(SEQUENCE(1,COLUMNS(h)),REGEXMATCH(h,padrao)),
  IFERROR(MEDIAN("&amp;"TOCOL(CHOOSECOLS(d,idx),1)),)
)"),"")</f>
        <v/>
      </c>
      <c r="Q8" s="9">
        <f>IFERROR(__xludf.DUMMYFUNCTION("LET(
  h,'Respostas ao formulário 1'!$1:$1,
  d,'Respostas ao formulário 1'!$A$2:$ZZ1000,
  proj,$A8,
  pessoa,Q$1,
  padrao,""^""&amp;proj&amp;""\s*\|\s*""&amp;pessoa&amp;""\s*\([^)]*\)\s*\["",
  idx,FILTER(SEQUENCE(1,COLUMNS(h)),REGEXMATCH(h,padrao)),
  IFERROR(MEDIAN("&amp;"TOCOL(CHOOSECOLS(d,idx),1)),)
)"),4.0)</f>
        <v>4</v>
      </c>
      <c r="R8" s="9" t="str">
        <f>IFERROR(__xludf.DUMMYFUNCTION("LET(
  h,'Respostas ao formulário 1'!$1:$1,
  d,'Respostas ao formulário 1'!$A$2:$ZZ1000,
  proj,$A8,
  pessoa,R$1,
  padrao,""^""&amp;proj&amp;""\s*\|\s*""&amp;pessoa&amp;""\s*\([^)]*\)\s*\["",
  idx,FILTER(SEQUENCE(1,COLUMNS(h)),REGEXMATCH(h,padrao)),
  IFERROR(MEDIAN("&amp;"TOCOL(CHOOSECOLS(d,idx),1)),)
)"),"")</f>
        <v/>
      </c>
      <c r="S8" s="9" t="str">
        <f>IFERROR(__xludf.DUMMYFUNCTION("LET(
  h,'Respostas ao formulário 1'!$1:$1,
  d,'Respostas ao formulário 1'!$A$2:$ZZ1000,
  proj,$A8,
  pessoa,S$1,
  padrao,""^""&amp;proj&amp;""\s*\|\s*""&amp;pessoa&amp;""\s*\([^)]*\)\s*\["",
  idx,FILTER(SEQUENCE(1,COLUMNS(h)),REGEXMATCH(h,padrao)),
  IFERROR(MEDIAN("&amp;"TOCOL(CHOOSECOLS(d,idx),1)),)
)"),"")</f>
        <v/>
      </c>
      <c r="T8" s="9" t="str">
        <f>IFERROR(__xludf.DUMMYFUNCTION("LET(
  h,'Respostas ao formulário 1'!$1:$1,
  d,'Respostas ao formulário 1'!$A$2:$ZZ1000,
  proj,$A8,
  pessoa,T$1,
  padrao,""^""&amp;proj&amp;""\s*\|\s*""&amp;pessoa&amp;""\s*\([^)]*\)\s*\["",
  idx,FILTER(SEQUENCE(1,COLUMNS(h)),REGEXMATCH(h,padrao)),
  IFERROR(MEDIAN("&amp;"TOCOL(CHOOSECOLS(d,idx),1)),)
)"),"")</f>
        <v/>
      </c>
      <c r="U8" s="9" t="str">
        <f>IFERROR(__xludf.DUMMYFUNCTION("LET(
  h,'Respostas ao formulário 1'!$1:$1,
  d,'Respostas ao formulário 1'!$A$2:$ZZ1000,
  proj,$A8,
  pessoa,U$1,
  padrao,""^""&amp;proj&amp;""\s*\|\s*""&amp;pessoa&amp;""\s*\([^)]*\)\s*\["",
  idx,FILTER(SEQUENCE(1,COLUMNS(h)),REGEXMATCH(h,padrao)),
  IFERROR(MEDIAN("&amp;"TOCOL(CHOOSECOLS(d,idx),1)),)
)"),"")</f>
        <v/>
      </c>
      <c r="V8" s="9" t="str">
        <f>IFERROR(__xludf.DUMMYFUNCTION("LET(
  h,'Respostas ao formulário 1'!$1:$1,
  d,'Respostas ao formulário 1'!$A$2:$ZZ1000,
  proj,$A8,
  pessoa,V$1,
  padrao,""^""&amp;proj&amp;""\s*\|\s*""&amp;pessoa&amp;""\s*\([^)]*\)\s*\["",
  idx,FILTER(SEQUENCE(1,COLUMNS(h)),REGEXMATCH(h,padrao)),
  IFERROR(MEDIAN("&amp;"TOCOL(CHOOSECOLS(d,idx),1)),)
)"),"")</f>
        <v/>
      </c>
      <c r="W8" s="9">
        <f>IFERROR(__xludf.DUMMYFUNCTION("LET(
  h,'Respostas ao formulário 1'!$1:$1,
  d,'Respostas ao formulário 1'!$A$2:$ZZ1000,
  proj,$A8,
  pessoa,W$1,
  padrao,""^""&amp;proj&amp;""\s*\|\s*""&amp;pessoa&amp;""\s*\([^)]*\)\s*\["",
  idx,FILTER(SEQUENCE(1,COLUMNS(h)),REGEXMATCH(h,padrao)),
  IFERROR(MEDIAN("&amp;"TOCOL(CHOOSECOLS(d,idx),1)),)
)"),3.0)</f>
        <v>3</v>
      </c>
      <c r="X8" s="9">
        <f>IFERROR(__xludf.DUMMYFUNCTION("LET(
  h,'Respostas ao formulário 1'!$1:$1,
  d,'Respostas ao formulário 1'!$A$2:$ZZ1000,
  proj,$A8,
  pessoa,X$1,
  padrao,""^""&amp;proj&amp;""\s*\|\s*""&amp;pessoa&amp;""\s*\([^)]*\)\s*\["",
  idx,FILTER(SEQUENCE(1,COLUMNS(h)),REGEXMATCH(h,padrao)),
  IFERROR(MEDIAN("&amp;"TOCOL(CHOOSECOLS(d,idx),1)),)
)"),3.0)</f>
        <v>3</v>
      </c>
      <c r="Y8" s="9" t="str">
        <f>IFERROR(__xludf.DUMMYFUNCTION("LET(
  h,'Respostas ao formulário 1'!$1:$1,
  d,'Respostas ao formulário 1'!$A$2:$ZZ1000,
  proj,$A8,
  pessoa,Y$1,
  padrao,""^""&amp;proj&amp;""\s*\|\s*""&amp;pessoa&amp;""\s*\([^)]*\)\s*\["",
  idx,FILTER(SEQUENCE(1,COLUMNS(h)),REGEXMATCH(h,padrao)),
  IFERROR(MEDIAN("&amp;"TOCOL(CHOOSECOLS(d,idx),1)),)
)"),"")</f>
        <v/>
      </c>
      <c r="Z8" s="9" t="str">
        <f>IFERROR(__xludf.DUMMYFUNCTION("LET(
  h,'Respostas ao formulário 1'!$1:$1,
  d,'Respostas ao formulário 1'!$A$2:$ZZ1000,
  proj,$A8,
  pessoa,Z$1,
  padrao,""^""&amp;proj&amp;""\s*\|\s*""&amp;pessoa&amp;""\s*\([^)]*\)\s*\["",
  idx,FILTER(SEQUENCE(1,COLUMNS(h)),REGEXMATCH(h,padrao)),
  IFERROR(MEDIAN("&amp;"TOCOL(CHOOSECOLS(d,idx),1)),)
)"),"")</f>
        <v/>
      </c>
      <c r="AB8" s="9" t="str">
        <f>IFERROR(__xludf.DUMMYFUNCTION("LET(
  h,'Respostas ao formulário 1'!$1:$1,
  d,'Respostas ao formulário 1'!$A$2:$ZZ1000,
  proj,$A8,
  pessoa,AB$1,
  padrao,""^""&amp;proj&amp;""\s*\|\s*""&amp;pessoa&amp;""\s*\([^)]*\)\s*\["",
  idx,FILTER(SEQUENCE(1,COLUMNS(h)),REGEXMATCH(h,padrao)),
  IFERROR(MEDIAN"&amp;"(TOCOL(CHOOSECOLS(d,idx),1)),)
)"),"")</f>
        <v/>
      </c>
      <c r="AC8" s="9">
        <f>IFERROR(__xludf.DUMMYFUNCTION("AVERAGE(FILTER(B8:AB8, B8:AB8&lt;&gt;""""))"),3.25)</f>
        <v>3.25</v>
      </c>
    </row>
    <row r="9">
      <c r="A9" s="13" t="s">
        <v>648</v>
      </c>
      <c r="B9" s="9" t="str">
        <f>IFERROR(__xludf.DUMMYFUNCTION("LET(
  h,'Respostas ao formulário 1'!$1:$1,
  d,'Respostas ao formulário 1'!$A$2:$ZZ1000,
  proj,$A9,
  pessoa,B$1,
  padrao,""^""&amp;proj&amp;""\s*\|\s*""&amp;pessoa&amp;""\s*\([^)]*\)\s*\["",
  idx,FILTER(SEQUENCE(1,COLUMNS(h)),REGEXMATCH(h,padrao)),
  IFERROR(MEDIAN("&amp;"TOCOL(CHOOSECOLS(d,idx),1)),)
)"),"")</f>
        <v/>
      </c>
      <c r="C9" s="9" t="str">
        <f>IFERROR(__xludf.DUMMYFUNCTION("LET(
  h,'Respostas ao formulário 1'!$1:$1,
  d,'Respostas ao formulário 1'!$A$2:$ZZ1000,
  proj,$A9,
  pessoa,C$1,
  padrao,""^""&amp;proj&amp;""\s*\|\s*""&amp;pessoa&amp;""\s*\([^)]*\)\s*\["",
  idx,FILTER(SEQUENCE(1,COLUMNS(h)),REGEXMATCH(h,padrao)),
  IFERROR(MEDIAN("&amp;"TOCOL(CHOOSECOLS(d,idx),1)),)
)"),"")</f>
        <v/>
      </c>
      <c r="D9" s="9" t="str">
        <f>IFERROR(__xludf.DUMMYFUNCTION("LET(
  h,'Respostas ao formulário 1'!$1:$1,
  d,'Respostas ao formulário 1'!$A$2:$ZZ1000,
  proj,$A9,
  pessoa,D$1,
  padrao,""^""&amp;proj&amp;""\s*\|\s*""&amp;pessoa&amp;""\s*\([^)]*\)\s*\["",
  idx,FILTER(SEQUENCE(1,COLUMNS(h)),REGEXMATCH(h,padrao)),
  IFERROR(MEDIAN("&amp;"TOCOL(CHOOSECOLS(d,idx),1)),)
)"),"")</f>
        <v/>
      </c>
      <c r="E9" s="9">
        <f>IFERROR(__xludf.DUMMYFUNCTION("LET(
  h,'Respostas ao formulário 1'!$1:$1,
  d,'Respostas ao formulário 1'!$A$2:$ZZ1000,
  proj,$A9,
  pessoa,E$1,
  padrao,""^""&amp;proj&amp;""\s*\|\s*""&amp;pessoa&amp;""\s*\([^)]*\)\s*\["",
  idx,FILTER(SEQUENCE(1,COLUMNS(h)),REGEXMATCH(h,padrao)),
  IFERROR(MEDIAN("&amp;"TOCOL(CHOOSECOLS(d,idx),1)),)
)"),3.0)</f>
        <v>3</v>
      </c>
      <c r="F9" s="9" t="str">
        <f>IFERROR(__xludf.DUMMYFUNCTION("LET(
  h,'Respostas ao formulário 1'!$1:$1,
  d,'Respostas ao formulário 1'!$A$2:$ZZ1000,
  proj,$A9,
  pessoa,F$1,
  padrao,""^""&amp;proj&amp;""\s*\|\s*""&amp;pessoa&amp;""\s*\([^)]*\)\s*\["",
  idx,FILTER(SEQUENCE(1,COLUMNS(h)),REGEXMATCH(h,padrao)),
  IFERROR(MEDIAN("&amp;"TOCOL(CHOOSECOLS(d,idx),1)),)
)"),"")</f>
        <v/>
      </c>
      <c r="G9" s="9" t="str">
        <f>IFERROR(__xludf.DUMMYFUNCTION("LET(
  h,'Respostas ao formulário 1'!$1:$1,
  d,'Respostas ao formulário 1'!$A$2:$ZZ1000,
  proj,$A9,
  pessoa,G$1,
  padrao,""^""&amp;proj&amp;""\s*\|\s*""&amp;pessoa&amp;""\s*\([^)]*\)\s*\["",
  idx,FILTER(SEQUENCE(1,COLUMNS(h)),REGEXMATCH(h,padrao)),
  IFERROR(MEDIAN("&amp;"TOCOL(CHOOSECOLS(d,idx),1)),)
)"),"")</f>
        <v/>
      </c>
      <c r="H9" s="9">
        <f>IFERROR(__xludf.DUMMYFUNCTION("LET(
  h,'Respostas ao formulário 1'!$1:$1,
  d,'Respostas ao formulário 1'!$A$2:$ZZ1000,
  proj,$A9,
  pessoa,H$1,
  padrao,""^""&amp;proj&amp;""\s*\|\s*""&amp;pessoa&amp;""\s*\([^)]*\)\s*\["",
  idx,FILTER(SEQUENCE(1,COLUMNS(h)),REGEXMATCH(h,padrao)),
  IFERROR(MEDIAN("&amp;"TOCOL(CHOOSECOLS(d,idx),1)),)
)"),3.0)</f>
        <v>3</v>
      </c>
      <c r="I9" s="9" t="str">
        <f>IFERROR(__xludf.DUMMYFUNCTION("LET(
  h,'Respostas ao formulário 1'!$1:$1,
  d,'Respostas ao formulário 1'!$A$2:$ZZ1000,
  proj,$A9,
  pessoa,I$1,
  padrao,""^""&amp;proj&amp;""\s*\|\s*""&amp;pessoa&amp;""\s*\([^)]*\)\s*\["",
  idx,FILTER(SEQUENCE(1,COLUMNS(h)),REGEXMATCH(h,padrao)),
  IFERROR(MEDIAN("&amp;"TOCOL(CHOOSECOLS(d,idx),1)),)
)"),"")</f>
        <v/>
      </c>
      <c r="J9" s="9">
        <f>IFERROR(__xludf.DUMMYFUNCTION("LET(
  h,'Respostas ao formulário 1'!$1:$1,
  d,'Respostas ao formulário 1'!$A$2:$ZZ1000,
  proj,$A9,
  pessoa,J$1,
  padrao,""^""&amp;proj&amp;""\s*\|\s*""&amp;pessoa&amp;""\s*\([^)]*\)\s*\["",
  idx,FILTER(SEQUENCE(1,COLUMNS(h)),REGEXMATCH(h,padrao)),
  IFERROR(MEDIAN("&amp;"TOCOL(CHOOSECOLS(d,idx),1)),)
)"),3.0)</f>
        <v>3</v>
      </c>
      <c r="K9" s="9" t="str">
        <f>IFERROR(__xludf.DUMMYFUNCTION("LET(
  h,'Respostas ao formulário 1'!$1:$1,
  d,'Respostas ao formulário 1'!$A$2:$ZZ1000,
  proj,$A9,
  pessoa,K$1,
  padrao,""^""&amp;proj&amp;""\s*\|\s*""&amp;pessoa&amp;""\s*\([^)]*\)\s*\["",
  idx,FILTER(SEQUENCE(1,COLUMNS(h)),REGEXMATCH(h,padrao)),
  IFERROR(MEDIAN("&amp;"TOCOL(CHOOSECOLS(d,idx),1)),)
)"),"")</f>
        <v/>
      </c>
      <c r="L9" s="9" t="str">
        <f>IFERROR(__xludf.DUMMYFUNCTION("LET(
  h,'Respostas ao formulário 1'!$1:$1,
  d,'Respostas ao formulário 1'!$A$2:$ZZ1000,
  proj,$A9,
  pessoa,L$1,
  padrao,""^""&amp;proj&amp;""\s*\|\s*""&amp;pessoa&amp;""\s*\([^)]*\)\s*\["",
  idx,FILTER(SEQUENCE(1,COLUMNS(h)),REGEXMATCH(h,padrao)),
  IFERROR(MEDIAN("&amp;"TOCOL(CHOOSECOLS(d,idx),1)),)
)"),"")</f>
        <v/>
      </c>
      <c r="M9" s="9" t="str">
        <f>IFERROR(__xludf.DUMMYFUNCTION("LET(
  h,'Respostas ao formulário 1'!$1:$1,
  d,'Respostas ao formulário 1'!$A$2:$ZZ1000,
  proj,$A9,
  pessoa,M$1,
  padrao,""^""&amp;proj&amp;""\s*\|\s*""&amp;pessoa&amp;""\s*\([^)]*\)\s*\["",
  idx,FILTER(SEQUENCE(1,COLUMNS(h)),REGEXMATCH(h,padrao)),
  IFERROR(MEDIAN("&amp;"TOCOL(CHOOSECOLS(d,idx),1)),)
)"),"")</f>
        <v/>
      </c>
      <c r="N9" s="9" t="str">
        <f>IFERROR(__xludf.DUMMYFUNCTION("LET(
  h,'Respostas ao formulário 1'!$1:$1,
  d,'Respostas ao formulário 1'!$A$2:$ZZ1000,
  proj,$A9,
  pessoa,N$1,
  padrao,""^""&amp;proj&amp;""\s*\|\s*""&amp;pessoa&amp;""\s*\([^)]*\)\s*\["",
  idx,FILTER(SEQUENCE(1,COLUMNS(h)),REGEXMATCH(h,padrao)),
  IFERROR(MEDIAN("&amp;"TOCOL(CHOOSECOLS(d,idx),1)),)
)"),"")</f>
        <v/>
      </c>
      <c r="O9" s="9">
        <f>IFERROR(__xludf.DUMMYFUNCTION("LET(
  h,'Respostas ao formulário 1'!$1:$1,
  d,'Respostas ao formulário 1'!$A$2:$ZZ1000,
  proj,$A9,
  pessoa,O$1,
  padrao,""^""&amp;proj&amp;""\s*\|\s*""&amp;pessoa&amp;""\s*\([^)]*\)\s*\["",
  idx,FILTER(SEQUENCE(1,COLUMNS(h)),REGEXMATCH(h,padrao)),
  IFERROR(MEDIAN("&amp;"TOCOL(CHOOSECOLS(d,idx),1)),)
)"),3.0)</f>
        <v>3</v>
      </c>
      <c r="P9" s="9">
        <f>IFERROR(__xludf.DUMMYFUNCTION("LET(
  h,'Respostas ao formulário 1'!$1:$1,
  d,'Respostas ao formulário 1'!$A$2:$ZZ1000,
  proj,$A9,
  pessoa,P$1,
  padrao,""^""&amp;proj&amp;""\s*\|\s*""&amp;pessoa&amp;""\s*\([^)]*\)\s*\["",
  idx,FILTER(SEQUENCE(1,COLUMNS(h)),REGEXMATCH(h,padrao)),
  IFERROR(MEDIAN("&amp;"TOCOL(CHOOSECOLS(d,idx),1)),)
)"),3.0)</f>
        <v>3</v>
      </c>
      <c r="Q9" s="9" t="str">
        <f>IFERROR(__xludf.DUMMYFUNCTION("LET(
  h,'Respostas ao formulário 1'!$1:$1,
  d,'Respostas ao formulário 1'!$A$2:$ZZ1000,
  proj,$A9,
  pessoa,Q$1,
  padrao,""^""&amp;proj&amp;""\s*\|\s*""&amp;pessoa&amp;""\s*\([^)]*\)\s*\["",
  idx,FILTER(SEQUENCE(1,COLUMNS(h)),REGEXMATCH(h,padrao)),
  IFERROR(MEDIAN("&amp;"TOCOL(CHOOSECOLS(d,idx),1)),)
)"),"")</f>
        <v/>
      </c>
      <c r="R9" s="9">
        <f>IFERROR(__xludf.DUMMYFUNCTION("LET(
  h,'Respostas ao formulário 1'!$1:$1,
  d,'Respostas ao formulário 1'!$A$2:$ZZ1000,
  proj,$A9,
  pessoa,R$1,
  padrao,""^""&amp;proj&amp;""\s*\|\s*""&amp;pessoa&amp;""\s*\([^)]*\)\s*\["",
  idx,FILTER(SEQUENCE(1,COLUMNS(h)),REGEXMATCH(h,padrao)),
  IFERROR(MEDIAN("&amp;"TOCOL(CHOOSECOLS(d,idx),1)),)
)"),3.0)</f>
        <v>3</v>
      </c>
      <c r="S9" s="9" t="str">
        <f>IFERROR(__xludf.DUMMYFUNCTION("LET(
  h,'Respostas ao formulário 1'!$1:$1,
  d,'Respostas ao formulário 1'!$A$2:$ZZ1000,
  proj,$A9,
  pessoa,S$1,
  padrao,""^""&amp;proj&amp;""\s*\|\s*""&amp;pessoa&amp;""\s*\([^)]*\)\s*\["",
  idx,FILTER(SEQUENCE(1,COLUMNS(h)),REGEXMATCH(h,padrao)),
  IFERROR(MEDIAN("&amp;"TOCOL(CHOOSECOLS(d,idx),1)),)
)"),"")</f>
        <v/>
      </c>
      <c r="T9" s="9" t="str">
        <f>IFERROR(__xludf.DUMMYFUNCTION("LET(
  h,'Respostas ao formulário 1'!$1:$1,
  d,'Respostas ao formulário 1'!$A$2:$ZZ1000,
  proj,$A9,
  pessoa,T$1,
  padrao,""^""&amp;proj&amp;""\s*\|\s*""&amp;pessoa&amp;""\s*\([^)]*\)\s*\["",
  idx,FILTER(SEQUENCE(1,COLUMNS(h)),REGEXMATCH(h,padrao)),
  IFERROR(MEDIAN("&amp;"TOCOL(CHOOSECOLS(d,idx),1)),)
)"),"")</f>
        <v/>
      </c>
      <c r="U9" s="9" t="str">
        <f>IFERROR(__xludf.DUMMYFUNCTION("LET(
  h,'Respostas ao formulário 1'!$1:$1,
  d,'Respostas ao formulário 1'!$A$2:$ZZ1000,
  proj,$A9,
  pessoa,U$1,
  padrao,""^""&amp;proj&amp;""\s*\|\s*""&amp;pessoa&amp;""\s*\([^)]*\)\s*\["",
  idx,FILTER(SEQUENCE(1,COLUMNS(h)),REGEXMATCH(h,padrao)),
  IFERROR(MEDIAN("&amp;"TOCOL(CHOOSECOLS(d,idx),1)),)
)"),"")</f>
        <v/>
      </c>
      <c r="V9" s="9" t="str">
        <f>IFERROR(__xludf.DUMMYFUNCTION("LET(
  h,'Respostas ao formulário 1'!$1:$1,
  d,'Respostas ao formulário 1'!$A$2:$ZZ1000,
  proj,$A9,
  pessoa,V$1,
  padrao,""^""&amp;proj&amp;""\s*\|\s*""&amp;pessoa&amp;""\s*\([^)]*\)\s*\["",
  idx,FILTER(SEQUENCE(1,COLUMNS(h)),REGEXMATCH(h,padrao)),
  IFERROR(MEDIAN("&amp;"TOCOL(CHOOSECOLS(d,idx),1)),)
)"),"")</f>
        <v/>
      </c>
      <c r="W9" s="9" t="str">
        <f>IFERROR(__xludf.DUMMYFUNCTION("LET(
  h,'Respostas ao formulário 1'!$1:$1,
  d,'Respostas ao formulário 1'!$A$2:$ZZ1000,
  proj,$A9,
  pessoa,W$1,
  padrao,""^""&amp;proj&amp;""\s*\|\s*""&amp;pessoa&amp;""\s*\([^)]*\)\s*\["",
  idx,FILTER(SEQUENCE(1,COLUMNS(h)),REGEXMATCH(h,padrao)),
  IFERROR(MEDIAN("&amp;"TOCOL(CHOOSECOLS(d,idx),1)),)
)"),"")</f>
        <v/>
      </c>
      <c r="X9" s="9">
        <f>IFERROR(__xludf.DUMMYFUNCTION("LET(
  h,'Respostas ao formulário 1'!$1:$1,
  d,'Respostas ao formulário 1'!$A$2:$ZZ1000,
  proj,$A9,
  pessoa,X$1,
  padrao,""^""&amp;proj&amp;""\s*\|\s*""&amp;pessoa&amp;""\s*\([^)]*\)\s*\["",
  idx,FILTER(SEQUENCE(1,COLUMNS(h)),REGEXMATCH(h,padrao)),
  IFERROR(MEDIAN("&amp;"TOCOL(CHOOSECOLS(d,idx),1)),)
)"),3.0)</f>
        <v>3</v>
      </c>
      <c r="Y9" s="9" t="str">
        <f>IFERROR(__xludf.DUMMYFUNCTION("LET(
  h,'Respostas ao formulário 1'!$1:$1,
  d,'Respostas ao formulário 1'!$A$2:$ZZ1000,
  proj,$A9,
  pessoa,Y$1,
  padrao,""^""&amp;proj&amp;""\s*\|\s*""&amp;pessoa&amp;""\s*\([^)]*\)\s*\["",
  idx,FILTER(SEQUENCE(1,COLUMNS(h)),REGEXMATCH(h,padrao)),
  IFERROR(MEDIAN("&amp;"TOCOL(CHOOSECOLS(d,idx),1)),)
)"),"")</f>
        <v/>
      </c>
      <c r="Z9" s="9" t="str">
        <f>IFERROR(__xludf.DUMMYFUNCTION("LET(
  h,'Respostas ao formulário 1'!$1:$1,
  d,'Respostas ao formulário 1'!$A$2:$ZZ1000,
  proj,$A9,
  pessoa,Z$1,
  padrao,""^""&amp;proj&amp;""\s*\|\s*""&amp;pessoa&amp;""\s*\([^)]*\)\s*\["",
  idx,FILTER(SEQUENCE(1,COLUMNS(h)),REGEXMATCH(h,padrao)),
  IFERROR(MEDIAN("&amp;"TOCOL(CHOOSECOLS(d,idx),1)),)
)"),"")</f>
        <v/>
      </c>
      <c r="AB9" s="9" t="str">
        <f>IFERROR(__xludf.DUMMYFUNCTION("LET(
  h,'Respostas ao formulário 1'!$1:$1,
  d,'Respostas ao formulário 1'!$A$2:$ZZ1000,
  proj,$A9,
  pessoa,AB$1,
  padrao,""^""&amp;proj&amp;""\s*\|\s*""&amp;pessoa&amp;""\s*\([^)]*\)\s*\["",
  idx,FILTER(SEQUENCE(1,COLUMNS(h)),REGEXMATCH(h,padrao)),
  IFERROR(MEDIAN"&amp;"(TOCOL(CHOOSECOLS(d,idx),1)),)
)"),"")</f>
        <v/>
      </c>
      <c r="AC9" s="9">
        <f>IFERROR(__xludf.DUMMYFUNCTION("AVERAGE(FILTER(B9:AB9, B9:AB9&lt;&gt;""""))"),3.0)</f>
        <v>3</v>
      </c>
    </row>
    <row r="10">
      <c r="A10" s="13" t="s">
        <v>597</v>
      </c>
      <c r="B10" s="9" t="str">
        <f>IFERROR(__xludf.DUMMYFUNCTION("LET(
  h,'Respostas ao formulário 1'!$1:$1,
  d,'Respostas ao formulário 1'!$A$2:$ZZ1000,
  proj,$A10,
  pessoa,B$1,
  padrao,""^""&amp;proj&amp;""\s*\|\s*""&amp;pessoa&amp;""\s*\([^)]*\)\s*\["",
  idx,FILTER(SEQUENCE(1,COLUMNS(h)),REGEXMATCH(h,padrao)),
  IFERROR(MEDIAN"&amp;"(TOCOL(CHOOSECOLS(d,idx),1)),)
)"),"")</f>
        <v/>
      </c>
      <c r="C10" s="9" t="str">
        <f>IFERROR(__xludf.DUMMYFUNCTION("LET(
  h,'Respostas ao formulário 1'!$1:$1,
  d,'Respostas ao formulário 1'!$A$2:$ZZ1000,
  proj,$A10,
  pessoa,C$1,
  padrao,""^""&amp;proj&amp;""\s*\|\s*""&amp;pessoa&amp;""\s*\([^)]*\)\s*\["",
  idx,FILTER(SEQUENCE(1,COLUMNS(h)),REGEXMATCH(h,padrao)),
  IFERROR(MEDIAN"&amp;"(TOCOL(CHOOSECOLS(d,idx),1)),)
)"),"")</f>
        <v/>
      </c>
      <c r="D10" s="9" t="str">
        <f>IFERROR(__xludf.DUMMYFUNCTION("LET(
  h,'Respostas ao formulário 1'!$1:$1,
  d,'Respostas ao formulário 1'!$A$2:$ZZ1000,
  proj,$A10,
  pessoa,D$1,
  padrao,""^""&amp;proj&amp;""\s*\|\s*""&amp;pessoa&amp;""\s*\([^)]*\)\s*\["",
  idx,FILTER(SEQUENCE(1,COLUMNS(h)),REGEXMATCH(h,padrao)),
  IFERROR(MEDIAN"&amp;"(TOCOL(CHOOSECOLS(d,idx),1)),)
)"),"")</f>
        <v/>
      </c>
      <c r="E10" s="9" t="str">
        <f>IFERROR(__xludf.DUMMYFUNCTION("LET(
  h,'Respostas ao formulário 1'!$1:$1,
  d,'Respostas ao formulário 1'!$A$2:$ZZ1000,
  proj,$A10,
  pessoa,E$1,
  padrao,""^""&amp;proj&amp;""\s*\|\s*""&amp;pessoa&amp;""\s*\([^)]*\)\s*\["",
  idx,FILTER(SEQUENCE(1,COLUMNS(h)),REGEXMATCH(h,padrao)),
  IFERROR(MEDIAN"&amp;"(TOCOL(CHOOSECOLS(d,idx),1)),)
)"),"")</f>
        <v/>
      </c>
      <c r="F10" s="9" t="str">
        <f>IFERROR(__xludf.DUMMYFUNCTION("LET(
  h,'Respostas ao formulário 1'!$1:$1,
  d,'Respostas ao formulário 1'!$A$2:$ZZ1000,
  proj,$A10,
  pessoa,F$1,
  padrao,""^""&amp;proj&amp;""\s*\|\s*""&amp;pessoa&amp;""\s*\([^)]*\)\s*\["",
  idx,FILTER(SEQUENCE(1,COLUMNS(h)),REGEXMATCH(h,padrao)),
  IFERROR(MEDIAN"&amp;"(TOCOL(CHOOSECOLS(d,idx),1)),)
)"),"")</f>
        <v/>
      </c>
      <c r="G10" s="9" t="str">
        <f>IFERROR(__xludf.DUMMYFUNCTION("LET(
  h,'Respostas ao formulário 1'!$1:$1,
  d,'Respostas ao formulário 1'!$A$2:$ZZ1000,
  proj,$A10,
  pessoa,G$1,
  padrao,""^""&amp;proj&amp;""\s*\|\s*""&amp;pessoa&amp;""\s*\([^)]*\)\s*\["",
  idx,FILTER(SEQUENCE(1,COLUMNS(h)),REGEXMATCH(h,padrao)),
  IFERROR(MEDIAN"&amp;"(TOCOL(CHOOSECOLS(d,idx),1)),)
)"),"")</f>
        <v/>
      </c>
      <c r="H10" s="9" t="str">
        <f>IFERROR(__xludf.DUMMYFUNCTION("LET(
  h,'Respostas ao formulário 1'!$1:$1,
  d,'Respostas ao formulário 1'!$A$2:$ZZ1000,
  proj,$A10,
  pessoa,H$1,
  padrao,""^""&amp;proj&amp;""\s*\|\s*""&amp;pessoa&amp;""\s*\([^)]*\)\s*\["",
  idx,FILTER(SEQUENCE(1,COLUMNS(h)),REGEXMATCH(h,padrao)),
  IFERROR(MEDIAN"&amp;"(TOCOL(CHOOSECOLS(d,idx),1)),)
)"),"")</f>
        <v/>
      </c>
      <c r="I10" s="9">
        <f>IFERROR(__xludf.DUMMYFUNCTION("LET(
  h,'Respostas ao formulário 1'!$1:$1,
  d,'Respostas ao formulário 1'!$A$2:$ZZ1000,
  proj,$A10,
  pessoa,I$1,
  padrao,""^""&amp;proj&amp;""\s*\|\s*""&amp;pessoa&amp;""\s*\([^)]*\)\s*\["",
  idx,FILTER(SEQUENCE(1,COLUMNS(h)),REGEXMATCH(h,padrao)),
  IFERROR(MEDIAN"&amp;"(TOCOL(CHOOSECOLS(d,idx),1)),)
)"),3.0)</f>
        <v>3</v>
      </c>
      <c r="J10" s="9" t="str">
        <f>IFERROR(__xludf.DUMMYFUNCTION("LET(
  h,'Respostas ao formulário 1'!$1:$1,
  d,'Respostas ao formulário 1'!$A$2:$ZZ1000,
  proj,$A10,
  pessoa,J$1,
  padrao,""^""&amp;proj&amp;""\s*\|\s*""&amp;pessoa&amp;""\s*\([^)]*\)\s*\["",
  idx,FILTER(SEQUENCE(1,COLUMNS(h)),REGEXMATCH(h,padrao)),
  IFERROR(MEDIAN"&amp;"(TOCOL(CHOOSECOLS(d,idx),1)),)
)"),"")</f>
        <v/>
      </c>
      <c r="K10" s="9" t="str">
        <f>IFERROR(__xludf.DUMMYFUNCTION("LET(
  h,'Respostas ao formulário 1'!$1:$1,
  d,'Respostas ao formulário 1'!$A$2:$ZZ1000,
  proj,$A10,
  pessoa,K$1,
  padrao,""^""&amp;proj&amp;""\s*\|\s*""&amp;pessoa&amp;""\s*\([^)]*\)\s*\["",
  idx,FILTER(SEQUENCE(1,COLUMNS(h)),REGEXMATCH(h,padrao)),
  IFERROR(MEDIAN"&amp;"(TOCOL(CHOOSECOLS(d,idx),1)),)
)"),"")</f>
        <v/>
      </c>
      <c r="L10" s="9" t="str">
        <f>IFERROR(__xludf.DUMMYFUNCTION("LET(
  h,'Respostas ao formulário 1'!$1:$1,
  d,'Respostas ao formulário 1'!$A$2:$ZZ1000,
  proj,$A10,
  pessoa,L$1,
  padrao,""^""&amp;proj&amp;""\s*\|\s*""&amp;pessoa&amp;""\s*\([^)]*\)\s*\["",
  idx,FILTER(SEQUENCE(1,COLUMNS(h)),REGEXMATCH(h,padrao)),
  IFERROR(MEDIAN"&amp;"(TOCOL(CHOOSECOLS(d,idx),1)),)
)"),"")</f>
        <v/>
      </c>
      <c r="M10" s="9" t="str">
        <f>IFERROR(__xludf.DUMMYFUNCTION("LET(
  h,'Respostas ao formulário 1'!$1:$1,
  d,'Respostas ao formulário 1'!$A$2:$ZZ1000,
  proj,$A10,
  pessoa,M$1,
  padrao,""^""&amp;proj&amp;""\s*\|\s*""&amp;pessoa&amp;""\s*\([^)]*\)\s*\["",
  idx,FILTER(SEQUENCE(1,COLUMNS(h)),REGEXMATCH(h,padrao)),
  IFERROR(MEDIAN"&amp;"(TOCOL(CHOOSECOLS(d,idx),1)),)
)"),"")</f>
        <v/>
      </c>
      <c r="N10" s="9" t="str">
        <f>IFERROR(__xludf.DUMMYFUNCTION("LET(
  h,'Respostas ao formulário 1'!$1:$1,
  d,'Respostas ao formulário 1'!$A$2:$ZZ1000,
  proj,$A10,
  pessoa,N$1,
  padrao,""^""&amp;proj&amp;""\s*\|\s*""&amp;pessoa&amp;""\s*\([^)]*\)\s*\["",
  idx,FILTER(SEQUENCE(1,COLUMNS(h)),REGEXMATCH(h,padrao)),
  IFERROR(MEDIAN"&amp;"(TOCOL(CHOOSECOLS(d,idx),1)),)
)"),"")</f>
        <v/>
      </c>
      <c r="O10" s="9" t="str">
        <f>IFERROR(__xludf.DUMMYFUNCTION("LET(
  h,'Respostas ao formulário 1'!$1:$1,
  d,'Respostas ao formulário 1'!$A$2:$ZZ1000,
  proj,$A10,
  pessoa,O$1,
  padrao,""^""&amp;proj&amp;""\s*\|\s*""&amp;pessoa&amp;""\s*\([^)]*\)\s*\["",
  idx,FILTER(SEQUENCE(1,COLUMNS(h)),REGEXMATCH(h,padrao)),
  IFERROR(MEDIAN"&amp;"(TOCOL(CHOOSECOLS(d,idx),1)),)
)"),"")</f>
        <v/>
      </c>
      <c r="P10" s="9" t="str">
        <f>IFERROR(__xludf.DUMMYFUNCTION("LET(
  h,'Respostas ao formulário 1'!$1:$1,
  d,'Respostas ao formulário 1'!$A$2:$ZZ1000,
  proj,$A10,
  pessoa,P$1,
  padrao,""^""&amp;proj&amp;""\s*\|\s*""&amp;pessoa&amp;""\s*\([^)]*\)\s*\["",
  idx,FILTER(SEQUENCE(1,COLUMNS(h)),REGEXMATCH(h,padrao)),
  IFERROR(MEDIAN"&amp;"(TOCOL(CHOOSECOLS(d,idx),1)),)
)"),"")</f>
        <v/>
      </c>
      <c r="Q10" s="9" t="str">
        <f>IFERROR(__xludf.DUMMYFUNCTION("LET(
  h,'Respostas ao formulário 1'!$1:$1,
  d,'Respostas ao formulário 1'!$A$2:$ZZ1000,
  proj,$A10,
  pessoa,Q$1,
  padrao,""^""&amp;proj&amp;""\s*\|\s*""&amp;pessoa&amp;""\s*\([^)]*\)\s*\["",
  idx,FILTER(SEQUENCE(1,COLUMNS(h)),REGEXMATCH(h,padrao)),
  IFERROR(MEDIAN"&amp;"(TOCOL(CHOOSECOLS(d,idx),1)),)
)"),"")</f>
        <v/>
      </c>
      <c r="R10" s="9" t="str">
        <f>IFERROR(__xludf.DUMMYFUNCTION("LET(
  h,'Respostas ao formulário 1'!$1:$1,
  d,'Respostas ao formulário 1'!$A$2:$ZZ1000,
  proj,$A10,
  pessoa,R$1,
  padrao,""^""&amp;proj&amp;""\s*\|\s*""&amp;pessoa&amp;""\s*\([^)]*\)\s*\["",
  idx,FILTER(SEQUENCE(1,COLUMNS(h)),REGEXMATCH(h,padrao)),
  IFERROR(MEDIAN"&amp;"(TOCOL(CHOOSECOLS(d,idx),1)),)
)"),"")</f>
        <v/>
      </c>
      <c r="S10" s="9">
        <f>IFERROR(__xludf.DUMMYFUNCTION("LET(
  h,'Respostas ao formulário 1'!$1:$1,
  d,'Respostas ao formulário 1'!$A$2:$ZZ1000,
  proj,$A10,
  pessoa,S$1,
  padrao,""^""&amp;proj&amp;""\s*\|\s*""&amp;pessoa&amp;""\s*\([^)]*\)\s*\["",
  idx,FILTER(SEQUENCE(1,COLUMNS(h)),REGEXMATCH(h,padrao)),
  IFERROR(MEDIAN"&amp;"(TOCOL(CHOOSECOLS(d,idx),1)),)
)"),3.0)</f>
        <v>3</v>
      </c>
      <c r="T10" s="9" t="str">
        <f>IFERROR(__xludf.DUMMYFUNCTION("LET(
  h,'Respostas ao formulário 1'!$1:$1,
  d,'Respostas ao formulário 1'!$A$2:$ZZ1000,
  proj,$A10,
  pessoa,T$1,
  padrao,""^""&amp;proj&amp;""\s*\|\s*""&amp;pessoa&amp;""\s*\([^)]*\)\s*\["",
  idx,FILTER(SEQUENCE(1,COLUMNS(h)),REGEXMATCH(h,padrao)),
  IFERROR(MEDIAN"&amp;"(TOCOL(CHOOSECOLS(d,idx),1)),)
)"),"")</f>
        <v/>
      </c>
      <c r="U10" s="9" t="str">
        <f>IFERROR(__xludf.DUMMYFUNCTION("LET(
  h,'Respostas ao formulário 1'!$1:$1,
  d,'Respostas ao formulário 1'!$A$2:$ZZ1000,
  proj,$A10,
  pessoa,U$1,
  padrao,""^""&amp;proj&amp;""\s*\|\s*""&amp;pessoa&amp;""\s*\([^)]*\)\s*\["",
  idx,FILTER(SEQUENCE(1,COLUMNS(h)),REGEXMATCH(h,padrao)),
  IFERROR(MEDIAN"&amp;"(TOCOL(CHOOSECOLS(d,idx),1)),)
)"),"")</f>
        <v/>
      </c>
      <c r="V10" s="9" t="str">
        <f>IFERROR(__xludf.DUMMYFUNCTION("LET(
  h,'Respostas ao formulário 1'!$1:$1,
  d,'Respostas ao formulário 1'!$A$2:$ZZ1000,
  proj,$A10,
  pessoa,V$1,
  padrao,""^""&amp;proj&amp;""\s*\|\s*""&amp;pessoa&amp;""\s*\([^)]*\)\s*\["",
  idx,FILTER(SEQUENCE(1,COLUMNS(h)),REGEXMATCH(h,padrao)),
  IFERROR(MEDIAN"&amp;"(TOCOL(CHOOSECOLS(d,idx),1)),)
)"),"")</f>
        <v/>
      </c>
      <c r="W10" s="9" t="str">
        <f>IFERROR(__xludf.DUMMYFUNCTION("LET(
  h,'Respostas ao formulário 1'!$1:$1,
  d,'Respostas ao formulário 1'!$A$2:$ZZ1000,
  proj,$A10,
  pessoa,W$1,
  padrao,""^""&amp;proj&amp;""\s*\|\s*""&amp;pessoa&amp;""\s*\([^)]*\)\s*\["",
  idx,FILTER(SEQUENCE(1,COLUMNS(h)),REGEXMATCH(h,padrao)),
  IFERROR(MEDIAN"&amp;"(TOCOL(CHOOSECOLS(d,idx),1)),)
)"),"")</f>
        <v/>
      </c>
      <c r="X10" s="9" t="str">
        <f>IFERROR(__xludf.DUMMYFUNCTION("LET(
  h,'Respostas ao formulário 1'!$1:$1,
  d,'Respostas ao formulário 1'!$A$2:$ZZ1000,
  proj,$A10,
  pessoa,X$1,
  padrao,""^""&amp;proj&amp;""\s*\|\s*""&amp;pessoa&amp;""\s*\([^)]*\)\s*\["",
  idx,FILTER(SEQUENCE(1,COLUMNS(h)),REGEXMATCH(h,padrao)),
  IFERROR(MEDIAN"&amp;"(TOCOL(CHOOSECOLS(d,idx),1)),)
)"),"")</f>
        <v/>
      </c>
      <c r="Y10" s="9">
        <f>IFERROR(__xludf.DUMMYFUNCTION("LET(
  h,'Respostas ao formulário 1'!$1:$1,
  d,'Respostas ao formulário 1'!$A$2:$ZZ1000,
  proj,$A10,
  pessoa,Y$1,
  padrao,""^""&amp;proj&amp;""\s*\|\s*""&amp;pessoa&amp;""\s*\([^)]*\)\s*\["",
  idx,FILTER(SEQUENCE(1,COLUMNS(h)),REGEXMATCH(h,padrao)),
  IFERROR(MEDIAN"&amp;"(TOCOL(CHOOSECOLS(d,idx),1)),)
)"),3.0)</f>
        <v>3</v>
      </c>
      <c r="Z10" s="9" t="str">
        <f>IFERROR(__xludf.DUMMYFUNCTION("LET(
  h,'Respostas ao formulário 1'!$1:$1,
  d,'Respostas ao formulário 1'!$A$2:$ZZ1000,
  proj,$A10,
  pessoa,Z$1,
  padrao,""^""&amp;proj&amp;""\s*\|\s*""&amp;pessoa&amp;""\s*\([^)]*\)\s*\["",
  idx,FILTER(SEQUENCE(1,COLUMNS(h)),REGEXMATCH(h,padrao)),
  IFERROR(MEDIAN"&amp;"(TOCOL(CHOOSECOLS(d,idx),1)),)
)"),"")</f>
        <v/>
      </c>
      <c r="AB10" s="9" t="str">
        <f>IFERROR(__xludf.DUMMYFUNCTION("LET(
  h,'Respostas ao formulário 1'!$1:$1,
  d,'Respostas ao formulário 1'!$A$2:$ZZ1000,
  proj,$A10,
  pessoa,AB$1,
  padrao,""^""&amp;proj&amp;""\s*\|\s*""&amp;pessoa&amp;""\s*\([^)]*\)\s*\["",
  idx,FILTER(SEQUENCE(1,COLUMNS(h)),REGEXMATCH(h,padrao)),
  IFERROR(MEDIA"&amp;"N(TOCOL(CHOOSECOLS(d,idx),1)),)
)"),"")</f>
        <v/>
      </c>
      <c r="AC10" s="9">
        <f>IFERROR(__xludf.DUMMYFUNCTION("AVERAGE(FILTER(B10:AB10, B10:AB10&lt;&gt;""""))"),3.0)</f>
        <v>3</v>
      </c>
    </row>
    <row r="11">
      <c r="A11" s="13" t="s">
        <v>601</v>
      </c>
      <c r="B11" s="9" t="str">
        <f>IFERROR(__xludf.DUMMYFUNCTION("LET(
  h,'Respostas ao formulário 1'!$1:$1,
  d,'Respostas ao formulário 1'!$A$2:$ZZ1000,
  proj,$A11,
  pessoa,B$1,
  padrao,""^""&amp;proj&amp;""\s*\|\s*""&amp;pessoa&amp;""\s*\([^)]*\)\s*\["",
  idx,FILTER(SEQUENCE(1,COLUMNS(h)),REGEXMATCH(h,padrao)),
  IFERROR(MEDIAN"&amp;"(TOCOL(CHOOSECOLS(d,idx),1)),)
)"),"")</f>
        <v/>
      </c>
      <c r="C11" s="9" t="str">
        <f>IFERROR(__xludf.DUMMYFUNCTION("LET(
  h,'Respostas ao formulário 1'!$1:$1,
  d,'Respostas ao formulário 1'!$A$2:$ZZ1000,
  proj,$A11,
  pessoa,C$1,
  padrao,""^""&amp;proj&amp;""\s*\|\s*""&amp;pessoa&amp;""\s*\([^)]*\)\s*\["",
  idx,FILTER(SEQUENCE(1,COLUMNS(h)),REGEXMATCH(h,padrao)),
  IFERROR(MEDIAN"&amp;"(TOCOL(CHOOSECOLS(d,idx),1)),)
)"),"")</f>
        <v/>
      </c>
      <c r="D11" s="9" t="str">
        <f>IFERROR(__xludf.DUMMYFUNCTION("LET(
  h,'Respostas ao formulário 1'!$1:$1,
  d,'Respostas ao formulário 1'!$A$2:$ZZ1000,
  proj,$A11,
  pessoa,D$1,
  padrao,""^""&amp;proj&amp;""\s*\|\s*""&amp;pessoa&amp;""\s*\([^)]*\)\s*\["",
  idx,FILTER(SEQUENCE(1,COLUMNS(h)),REGEXMATCH(h,padrao)),
  IFERROR(MEDIAN"&amp;"(TOCOL(CHOOSECOLS(d,idx),1)),)
)"),"")</f>
        <v/>
      </c>
      <c r="E11" s="9" t="str">
        <f>IFERROR(__xludf.DUMMYFUNCTION("LET(
  h,'Respostas ao formulário 1'!$1:$1,
  d,'Respostas ao formulário 1'!$A$2:$ZZ1000,
  proj,$A11,
  pessoa,E$1,
  padrao,""^""&amp;proj&amp;""\s*\|\s*""&amp;pessoa&amp;""\s*\([^)]*\)\s*\["",
  idx,FILTER(SEQUENCE(1,COLUMNS(h)),REGEXMATCH(h,padrao)),
  IFERROR(MEDIAN"&amp;"(TOCOL(CHOOSECOLS(d,idx),1)),)
)"),"")</f>
        <v/>
      </c>
      <c r="F11" s="9" t="str">
        <f>IFERROR(__xludf.DUMMYFUNCTION("LET(
  h,'Respostas ao formulário 1'!$1:$1,
  d,'Respostas ao formulário 1'!$A$2:$ZZ1000,
  proj,$A11,
  pessoa,F$1,
  padrao,""^""&amp;proj&amp;""\s*\|\s*""&amp;pessoa&amp;""\s*\([^)]*\)\s*\["",
  idx,FILTER(SEQUENCE(1,COLUMNS(h)),REGEXMATCH(h,padrao)),
  IFERROR(MEDIAN"&amp;"(TOCOL(CHOOSECOLS(d,idx),1)),)
)"),"")</f>
        <v/>
      </c>
      <c r="G11" s="9" t="str">
        <f>IFERROR(__xludf.DUMMYFUNCTION("LET(
  h,'Respostas ao formulário 1'!$1:$1,
  d,'Respostas ao formulário 1'!$A$2:$ZZ1000,
  proj,$A11,
  pessoa,G$1,
  padrao,""^""&amp;proj&amp;""\s*\|\s*""&amp;pessoa&amp;""\s*\([^)]*\)\s*\["",
  idx,FILTER(SEQUENCE(1,COLUMNS(h)),REGEXMATCH(h,padrao)),
  IFERROR(MEDIAN"&amp;"(TOCOL(CHOOSECOLS(d,idx),1)),)
)"),"")</f>
        <v/>
      </c>
      <c r="H11" s="9" t="str">
        <f>IFERROR(__xludf.DUMMYFUNCTION("LET(
  h,'Respostas ao formulário 1'!$1:$1,
  d,'Respostas ao formulário 1'!$A$2:$ZZ1000,
  proj,$A11,
  pessoa,H$1,
  padrao,""^""&amp;proj&amp;""\s*\|\s*""&amp;pessoa&amp;""\s*\([^)]*\)\s*\["",
  idx,FILTER(SEQUENCE(1,COLUMNS(h)),REGEXMATCH(h,padrao)),
  IFERROR(MEDIAN"&amp;"(TOCOL(CHOOSECOLS(d,idx),1)),)
)"),"")</f>
        <v/>
      </c>
      <c r="I11" s="9" t="str">
        <f>IFERROR(__xludf.DUMMYFUNCTION("LET(
  h,'Respostas ao formulário 1'!$1:$1,
  d,'Respostas ao formulário 1'!$A$2:$ZZ1000,
  proj,$A11,
  pessoa,I$1,
  padrao,""^""&amp;proj&amp;""\s*\|\s*""&amp;pessoa&amp;""\s*\([^)]*\)\s*\["",
  idx,FILTER(SEQUENCE(1,COLUMNS(h)),REGEXMATCH(h,padrao)),
  IFERROR(MEDIAN"&amp;"(TOCOL(CHOOSECOLS(d,idx),1)),)
)"),"")</f>
        <v/>
      </c>
      <c r="J11" s="9">
        <f>IFERROR(__xludf.DUMMYFUNCTION("LET(
  h,'Respostas ao formulário 1'!$1:$1,
  d,'Respostas ao formulário 1'!$A$2:$ZZ1000,
  proj,$A11,
  pessoa,J$1,
  padrao,""^""&amp;proj&amp;""\s*\|\s*""&amp;pessoa&amp;""\s*\([^)]*\)\s*\["",
  idx,FILTER(SEQUENCE(1,COLUMNS(h)),REGEXMATCH(h,padrao)),
  IFERROR(MEDIAN"&amp;"(TOCOL(CHOOSECOLS(d,idx),1)),)
)"),3.0)</f>
        <v>3</v>
      </c>
      <c r="K11" s="9" t="str">
        <f>IFERROR(__xludf.DUMMYFUNCTION("LET(
  h,'Respostas ao formulário 1'!$1:$1,
  d,'Respostas ao formulário 1'!$A$2:$ZZ1000,
  proj,$A11,
  pessoa,K$1,
  padrao,""^""&amp;proj&amp;""\s*\|\s*""&amp;pessoa&amp;""\s*\([^)]*\)\s*\["",
  idx,FILTER(SEQUENCE(1,COLUMNS(h)),REGEXMATCH(h,padrao)),
  IFERROR(MEDIAN"&amp;"(TOCOL(CHOOSECOLS(d,idx),1)),)
)"),"")</f>
        <v/>
      </c>
      <c r="L11" s="9" t="str">
        <f>IFERROR(__xludf.DUMMYFUNCTION("LET(
  h,'Respostas ao formulário 1'!$1:$1,
  d,'Respostas ao formulário 1'!$A$2:$ZZ1000,
  proj,$A11,
  pessoa,L$1,
  padrao,""^""&amp;proj&amp;""\s*\|\s*""&amp;pessoa&amp;""\s*\([^)]*\)\s*\["",
  idx,FILTER(SEQUENCE(1,COLUMNS(h)),REGEXMATCH(h,padrao)),
  IFERROR(MEDIAN"&amp;"(TOCOL(CHOOSECOLS(d,idx),1)),)
)"),"")</f>
        <v/>
      </c>
      <c r="M11" s="9" t="str">
        <f>IFERROR(__xludf.DUMMYFUNCTION("LET(
  h,'Respostas ao formulário 1'!$1:$1,
  d,'Respostas ao formulário 1'!$A$2:$ZZ1000,
  proj,$A11,
  pessoa,M$1,
  padrao,""^""&amp;proj&amp;""\s*\|\s*""&amp;pessoa&amp;""\s*\([^)]*\)\s*\["",
  idx,FILTER(SEQUENCE(1,COLUMNS(h)),REGEXMATCH(h,padrao)),
  IFERROR(MEDIAN"&amp;"(TOCOL(CHOOSECOLS(d,idx),1)),)
)"),"")</f>
        <v/>
      </c>
      <c r="N11" s="9" t="str">
        <f>IFERROR(__xludf.DUMMYFUNCTION("LET(
  h,'Respostas ao formulário 1'!$1:$1,
  d,'Respostas ao formulário 1'!$A$2:$ZZ1000,
  proj,$A11,
  pessoa,N$1,
  padrao,""^""&amp;proj&amp;""\s*\|\s*""&amp;pessoa&amp;""\s*\([^)]*\)\s*\["",
  idx,FILTER(SEQUENCE(1,COLUMNS(h)),REGEXMATCH(h,padrao)),
  IFERROR(MEDIAN"&amp;"(TOCOL(CHOOSECOLS(d,idx),1)),)
)"),"")</f>
        <v/>
      </c>
      <c r="O11" s="9" t="str">
        <f>IFERROR(__xludf.DUMMYFUNCTION("LET(
  h,'Respostas ao formulário 1'!$1:$1,
  d,'Respostas ao formulário 1'!$A$2:$ZZ1000,
  proj,$A11,
  pessoa,O$1,
  padrao,""^""&amp;proj&amp;""\s*\|\s*""&amp;pessoa&amp;""\s*\([^)]*\)\s*\["",
  idx,FILTER(SEQUENCE(1,COLUMNS(h)),REGEXMATCH(h,padrao)),
  IFERROR(MEDIAN"&amp;"(TOCOL(CHOOSECOLS(d,idx),1)),)
)"),"")</f>
        <v/>
      </c>
      <c r="P11" s="9" t="str">
        <f>IFERROR(__xludf.DUMMYFUNCTION("LET(
  h,'Respostas ao formulário 1'!$1:$1,
  d,'Respostas ao formulário 1'!$A$2:$ZZ1000,
  proj,$A11,
  pessoa,P$1,
  padrao,""^""&amp;proj&amp;""\s*\|\s*""&amp;pessoa&amp;""\s*\([^)]*\)\s*\["",
  idx,FILTER(SEQUENCE(1,COLUMNS(h)),REGEXMATCH(h,padrao)),
  IFERROR(MEDIAN"&amp;"(TOCOL(CHOOSECOLS(d,idx),1)),)
)"),"")</f>
        <v/>
      </c>
      <c r="Q11" s="9" t="str">
        <f>IFERROR(__xludf.DUMMYFUNCTION("LET(
  h,'Respostas ao formulário 1'!$1:$1,
  d,'Respostas ao formulário 1'!$A$2:$ZZ1000,
  proj,$A11,
  pessoa,Q$1,
  padrao,""^""&amp;proj&amp;""\s*\|\s*""&amp;pessoa&amp;""\s*\([^)]*\)\s*\["",
  idx,FILTER(SEQUENCE(1,COLUMNS(h)),REGEXMATCH(h,padrao)),
  IFERROR(MEDIAN"&amp;"(TOCOL(CHOOSECOLS(d,idx),1)),)
)"),"")</f>
        <v/>
      </c>
      <c r="R11" s="9" t="str">
        <f>IFERROR(__xludf.DUMMYFUNCTION("LET(
  h,'Respostas ao formulário 1'!$1:$1,
  d,'Respostas ao formulário 1'!$A$2:$ZZ1000,
  proj,$A11,
  pessoa,R$1,
  padrao,""^""&amp;proj&amp;""\s*\|\s*""&amp;pessoa&amp;""\s*\([^)]*\)\s*\["",
  idx,FILTER(SEQUENCE(1,COLUMNS(h)),REGEXMATCH(h,padrao)),
  IFERROR(MEDIAN"&amp;"(TOCOL(CHOOSECOLS(d,idx),1)),)
)"),"")</f>
        <v/>
      </c>
      <c r="S11" s="9" t="str">
        <f>IFERROR(__xludf.DUMMYFUNCTION("LET(
  h,'Respostas ao formulário 1'!$1:$1,
  d,'Respostas ao formulário 1'!$A$2:$ZZ1000,
  proj,$A11,
  pessoa,S$1,
  padrao,""^""&amp;proj&amp;""\s*\|\s*""&amp;pessoa&amp;""\s*\([^)]*\)\s*\["",
  idx,FILTER(SEQUENCE(1,COLUMNS(h)),REGEXMATCH(h,padrao)),
  IFERROR(MEDIAN"&amp;"(TOCOL(CHOOSECOLS(d,idx),1)),)
)"),"")</f>
        <v/>
      </c>
      <c r="T11" s="9">
        <f>IFERROR(__xludf.DUMMYFUNCTION("LET(
  h,'Respostas ao formulário 1'!$1:$1,
  d,'Respostas ao formulário 1'!$A$2:$ZZ1000,
  proj,$A11,
  pessoa,T$1,
  padrao,""^""&amp;proj&amp;""\s*\|\s*""&amp;pessoa&amp;""\s*\([^)]*\)\s*\["",
  idx,FILTER(SEQUENCE(1,COLUMNS(h)),REGEXMATCH(h,padrao)),
  IFERROR(MEDIAN"&amp;"(TOCOL(CHOOSECOLS(d,idx),1)),)
)"),3.0)</f>
        <v>3</v>
      </c>
      <c r="U11" s="9" t="str">
        <f>IFERROR(__xludf.DUMMYFUNCTION("LET(
  h,'Respostas ao formulário 1'!$1:$1,
  d,'Respostas ao formulário 1'!$A$2:$ZZ1000,
  proj,$A11,
  pessoa,U$1,
  padrao,""^""&amp;proj&amp;""\s*\|\s*""&amp;pessoa&amp;""\s*\([^)]*\)\s*\["",
  idx,FILTER(SEQUENCE(1,COLUMNS(h)),REGEXMATCH(h,padrao)),
  IFERROR(MEDIAN"&amp;"(TOCOL(CHOOSECOLS(d,idx),1)),)
)"),"")</f>
        <v/>
      </c>
      <c r="V11" s="9" t="str">
        <f>IFERROR(__xludf.DUMMYFUNCTION("LET(
  h,'Respostas ao formulário 1'!$1:$1,
  d,'Respostas ao formulário 1'!$A$2:$ZZ1000,
  proj,$A11,
  pessoa,V$1,
  padrao,""^""&amp;proj&amp;""\s*\|\s*""&amp;pessoa&amp;""\s*\([^)]*\)\s*\["",
  idx,FILTER(SEQUENCE(1,COLUMNS(h)),REGEXMATCH(h,padrao)),
  IFERROR(MEDIAN"&amp;"(TOCOL(CHOOSECOLS(d,idx),1)),)
)"),"")</f>
        <v/>
      </c>
      <c r="W11" s="9" t="str">
        <f>IFERROR(__xludf.DUMMYFUNCTION("LET(
  h,'Respostas ao formulário 1'!$1:$1,
  d,'Respostas ao formulário 1'!$A$2:$ZZ1000,
  proj,$A11,
  pessoa,W$1,
  padrao,""^""&amp;proj&amp;""\s*\|\s*""&amp;pessoa&amp;""\s*\([^)]*\)\s*\["",
  idx,FILTER(SEQUENCE(1,COLUMNS(h)),REGEXMATCH(h,padrao)),
  IFERROR(MEDIAN"&amp;"(TOCOL(CHOOSECOLS(d,idx),1)),)
)"),"")</f>
        <v/>
      </c>
      <c r="X11" s="9" t="str">
        <f>IFERROR(__xludf.DUMMYFUNCTION("LET(
  h,'Respostas ao formulário 1'!$1:$1,
  d,'Respostas ao formulário 1'!$A$2:$ZZ1000,
  proj,$A11,
  pessoa,X$1,
  padrao,""^""&amp;proj&amp;""\s*\|\s*""&amp;pessoa&amp;""\s*\([^)]*\)\s*\["",
  idx,FILTER(SEQUENCE(1,COLUMNS(h)),REGEXMATCH(h,padrao)),
  IFERROR(MEDIAN"&amp;"(TOCOL(CHOOSECOLS(d,idx),1)),)
)"),"")</f>
        <v/>
      </c>
      <c r="Y11" s="9" t="str">
        <f>IFERROR(__xludf.DUMMYFUNCTION("LET(
  h,'Respostas ao formulário 1'!$1:$1,
  d,'Respostas ao formulário 1'!$A$2:$ZZ1000,
  proj,$A11,
  pessoa,Y$1,
  padrao,""^""&amp;proj&amp;""\s*\|\s*""&amp;pessoa&amp;""\s*\([^)]*\)\s*\["",
  idx,FILTER(SEQUENCE(1,COLUMNS(h)),REGEXMATCH(h,padrao)),
  IFERROR(MEDIAN"&amp;"(TOCOL(CHOOSECOLS(d,idx),1)),)
)"),"")</f>
        <v/>
      </c>
      <c r="Z11" s="9">
        <f>IFERROR(__xludf.DUMMYFUNCTION("LET(
  h,'Respostas ao formulário 1'!$1:$1,
  d,'Respostas ao formulário 1'!$A$2:$ZZ1000,
  proj,$A11,
  pessoa,Z$1,
  padrao,""^""&amp;proj&amp;""\s*\|\s*""&amp;pessoa&amp;""\s*\([^)]*\)\s*\["",
  idx,FILTER(SEQUENCE(1,COLUMNS(h)),REGEXMATCH(h,padrao)),
  IFERROR(MEDIAN"&amp;"(TOCOL(CHOOSECOLS(d,idx),1)),)
)"),3.0)</f>
        <v>3</v>
      </c>
      <c r="AB11" s="9" t="str">
        <f>IFERROR(__xludf.DUMMYFUNCTION("LET(
  h,'Respostas ao formulário 1'!$1:$1,
  d,'Respostas ao formulário 1'!$A$2:$ZZ1000,
  proj,$A11,
  pessoa,AB$1,
  padrao,""^""&amp;proj&amp;""\s*\|\s*""&amp;pessoa&amp;""\s*\([^)]*\)\s*\["",
  idx,FILTER(SEQUENCE(1,COLUMNS(h)),REGEXMATCH(h,padrao)),
  IFERROR(MEDIA"&amp;"N(TOCOL(CHOOSECOLS(d,idx),1)),)
)"),"")</f>
        <v/>
      </c>
      <c r="AC11" s="9">
        <f>IFERROR(__xludf.DUMMYFUNCTION("AVERAGE(FILTER(B11:AB11, B11:AB11&lt;&gt;""""))"),3.0)</f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88"/>
    <col customWidth="1" min="2" max="2" width="21.38"/>
    <col customWidth="1" min="3" max="3" width="10.75"/>
    <col customWidth="1" min="4" max="4" width="3.63"/>
    <col customWidth="1" min="5" max="5" width="23.88"/>
    <col customWidth="1" min="6" max="6" width="21.38"/>
    <col customWidth="1" min="7" max="7" width="10.75"/>
  </cols>
  <sheetData>
    <row r="1" ht="21.0" customHeight="1">
      <c r="A1" s="14" t="s">
        <v>649</v>
      </c>
      <c r="D1" s="15"/>
      <c r="E1" s="14" t="s">
        <v>650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651</v>
      </c>
      <c r="B2" s="17"/>
      <c r="C2" s="18"/>
      <c r="D2" s="15"/>
      <c r="E2" s="16" t="s">
        <v>651</v>
      </c>
      <c r="F2" s="17"/>
      <c r="G2" s="18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652</v>
      </c>
      <c r="B3" s="20"/>
      <c r="C3" s="21">
        <v>2.327272727272727</v>
      </c>
      <c r="D3" s="15"/>
      <c r="E3" s="19" t="s">
        <v>652</v>
      </c>
      <c r="F3" s="20"/>
      <c r="G3" s="21">
        <v>3.181818181818181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653</v>
      </c>
      <c r="B4" s="22" t="s">
        <v>610</v>
      </c>
      <c r="C4" s="21">
        <v>2.6</v>
      </c>
      <c r="D4" s="15"/>
      <c r="E4" s="19" t="s">
        <v>653</v>
      </c>
      <c r="F4" s="22" t="s">
        <v>609</v>
      </c>
      <c r="G4" s="21">
        <v>3.6666666666666665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654</v>
      </c>
      <c r="B5" s="22" t="s">
        <v>607</v>
      </c>
      <c r="C5" s="21">
        <v>1.8</v>
      </c>
      <c r="D5" s="15"/>
      <c r="E5" s="19" t="s">
        <v>654</v>
      </c>
      <c r="F5" s="22" t="s">
        <v>608</v>
      </c>
      <c r="G5" s="21">
        <v>2.6666666666666665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3" t="s">
        <v>655</v>
      </c>
      <c r="B6" s="24"/>
      <c r="C6" s="25">
        <v>5.0</v>
      </c>
      <c r="D6" s="15"/>
      <c r="E6" s="23" t="s">
        <v>655</v>
      </c>
      <c r="F6" s="24"/>
      <c r="G6" s="25">
        <v>3.0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6"/>
      <c r="B7" s="26"/>
      <c r="C7" s="27"/>
      <c r="D7" s="15"/>
      <c r="E7" s="26"/>
      <c r="F7" s="26"/>
      <c r="G7" s="27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 t="s">
        <v>656</v>
      </c>
      <c r="B8" s="17"/>
      <c r="C8" s="18"/>
      <c r="D8" s="15"/>
      <c r="E8" s="16" t="s">
        <v>656</v>
      </c>
      <c r="F8" s="17"/>
      <c r="G8" s="18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8" t="s">
        <v>657</v>
      </c>
      <c r="B9" s="29"/>
      <c r="C9" s="30" t="s">
        <v>618</v>
      </c>
      <c r="D9" s="15"/>
      <c r="E9" s="28" t="s">
        <v>657</v>
      </c>
      <c r="F9" s="29"/>
      <c r="G9" s="30" t="s">
        <v>618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31" t="s">
        <v>610</v>
      </c>
      <c r="B10" s="20"/>
      <c r="C10" s="21">
        <v>2.6</v>
      </c>
      <c r="D10" s="15"/>
      <c r="E10" s="31" t="s">
        <v>609</v>
      </c>
      <c r="F10" s="20"/>
      <c r="G10" s="21">
        <v>3.6666666666666665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1" t="s">
        <v>614</v>
      </c>
      <c r="B11" s="20"/>
      <c r="C11" s="21">
        <v>2.6</v>
      </c>
      <c r="D11" s="15"/>
      <c r="E11" s="31" t="s">
        <v>611</v>
      </c>
      <c r="F11" s="20"/>
      <c r="G11" s="21">
        <v>3.6666666666666665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31" t="s">
        <v>609</v>
      </c>
      <c r="B12" s="20"/>
      <c r="C12" s="21">
        <v>2.4</v>
      </c>
      <c r="D12" s="15"/>
      <c r="E12" s="31" t="s">
        <v>610</v>
      </c>
      <c r="F12" s="20"/>
      <c r="G12" s="21">
        <v>3.3333333333333335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1" t="s">
        <v>611</v>
      </c>
      <c r="B13" s="20"/>
      <c r="C13" s="21">
        <v>2.4</v>
      </c>
      <c r="D13" s="15"/>
      <c r="E13" s="31" t="s">
        <v>613</v>
      </c>
      <c r="F13" s="20"/>
      <c r="G13" s="21">
        <v>3.3333333333333335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1" t="s">
        <v>612</v>
      </c>
      <c r="B14" s="20"/>
      <c r="C14" s="21">
        <v>2.4</v>
      </c>
      <c r="D14" s="15"/>
      <c r="E14" s="31" t="s">
        <v>615</v>
      </c>
      <c r="F14" s="20"/>
      <c r="G14" s="21">
        <v>3.3333333333333335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1" t="s">
        <v>615</v>
      </c>
      <c r="B15" s="20"/>
      <c r="C15" s="21">
        <v>2.4</v>
      </c>
      <c r="D15" s="15"/>
      <c r="E15" s="31" t="s">
        <v>607</v>
      </c>
      <c r="F15" s="20"/>
      <c r="G15" s="21">
        <v>3.0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31" t="s">
        <v>616</v>
      </c>
      <c r="B16" s="20"/>
      <c r="C16" s="21">
        <v>2.4</v>
      </c>
      <c r="D16" s="15"/>
      <c r="E16" s="31" t="s">
        <v>612</v>
      </c>
      <c r="F16" s="20"/>
      <c r="G16" s="21">
        <v>3.0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1" t="s">
        <v>608</v>
      </c>
      <c r="B17" s="20"/>
      <c r="C17" s="21">
        <v>2.2</v>
      </c>
      <c r="D17" s="15"/>
      <c r="E17" s="31" t="s">
        <v>614</v>
      </c>
      <c r="F17" s="20"/>
      <c r="G17" s="21">
        <v>3.0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31" t="s">
        <v>613</v>
      </c>
      <c r="B18" s="20"/>
      <c r="C18" s="21">
        <v>2.2</v>
      </c>
      <c r="D18" s="15"/>
      <c r="E18" s="31" t="s">
        <v>616</v>
      </c>
      <c r="F18" s="20"/>
      <c r="G18" s="21">
        <v>3.0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1" t="s">
        <v>617</v>
      </c>
      <c r="B19" s="20"/>
      <c r="C19" s="21">
        <v>2.2</v>
      </c>
      <c r="D19" s="15"/>
      <c r="E19" s="31" t="s">
        <v>617</v>
      </c>
      <c r="F19" s="20"/>
      <c r="G19" s="21">
        <v>3.0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32" t="s">
        <v>607</v>
      </c>
      <c r="B20" s="24"/>
      <c r="C20" s="25">
        <v>1.8</v>
      </c>
      <c r="D20" s="15"/>
      <c r="E20" s="32" t="s">
        <v>608</v>
      </c>
      <c r="F20" s="24"/>
      <c r="G20" s="25">
        <v>2.6666666666666665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26"/>
      <c r="B21" s="26"/>
      <c r="C21" s="27"/>
      <c r="D21" s="15"/>
      <c r="E21" s="26"/>
      <c r="F21" s="26"/>
      <c r="G21" s="2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6" t="s">
        <v>658</v>
      </c>
      <c r="B22" s="17"/>
      <c r="C22" s="18"/>
      <c r="D22" s="15"/>
      <c r="E22" s="16" t="s">
        <v>658</v>
      </c>
      <c r="F22" s="17"/>
      <c r="G22" s="18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33" t="s">
        <v>659</v>
      </c>
      <c r="B23" s="34"/>
      <c r="C23" s="35" t="s">
        <v>618</v>
      </c>
      <c r="D23" s="15"/>
      <c r="E23" s="33" t="s">
        <v>659</v>
      </c>
      <c r="F23" s="34"/>
      <c r="G23" s="35" t="s">
        <v>618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36" t="s">
        <v>623</v>
      </c>
      <c r="B24" s="37" t="s">
        <v>660</v>
      </c>
      <c r="C24" s="38">
        <v>3.3636363636363638</v>
      </c>
      <c r="D24" s="15"/>
      <c r="E24" s="36" t="s">
        <v>643</v>
      </c>
      <c r="F24" s="37" t="s">
        <v>660</v>
      </c>
      <c r="G24" s="38">
        <v>3.272727272727273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36" t="s">
        <v>619</v>
      </c>
      <c r="B25" s="37" t="s">
        <v>661</v>
      </c>
      <c r="C25" s="38">
        <v>2.8181818181818183</v>
      </c>
      <c r="D25" s="15"/>
      <c r="E25" s="36" t="s">
        <v>637</v>
      </c>
      <c r="F25" s="37" t="s">
        <v>660</v>
      </c>
      <c r="G25" s="38">
        <v>3.1818181818181817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36" t="s">
        <v>627</v>
      </c>
      <c r="B26" s="37" t="s">
        <v>660</v>
      </c>
      <c r="C26" s="38">
        <v>2.4545454545454546</v>
      </c>
      <c r="D26" s="15"/>
      <c r="E26" s="39" t="s">
        <v>627</v>
      </c>
      <c r="F26" s="40" t="s">
        <v>661</v>
      </c>
      <c r="G26" s="41">
        <v>3.090909090909091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36" t="s">
        <v>641</v>
      </c>
      <c r="B27" s="37" t="s">
        <v>660</v>
      </c>
      <c r="C27" s="38">
        <v>2.0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39" t="s">
        <v>628</v>
      </c>
      <c r="B28" s="40" t="s">
        <v>660</v>
      </c>
      <c r="C28" s="41">
        <v>1.0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1.0" customHeight="1">
      <c r="A31" s="14" t="s">
        <v>662</v>
      </c>
      <c r="D31" s="15"/>
      <c r="E31" s="14" t="s">
        <v>663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6" t="s">
        <v>651</v>
      </c>
      <c r="B32" s="17"/>
      <c r="C32" s="18"/>
      <c r="D32" s="15"/>
      <c r="E32" s="16" t="s">
        <v>651</v>
      </c>
      <c r="F32" s="17"/>
      <c r="G32" s="18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652</v>
      </c>
      <c r="B33" s="20"/>
      <c r="C33" s="21">
        <v>3.2121212121212115</v>
      </c>
      <c r="D33" s="15"/>
      <c r="E33" s="19" t="s">
        <v>652</v>
      </c>
      <c r="F33" s="20"/>
      <c r="G33" s="21">
        <v>3.1136363636363638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653</v>
      </c>
      <c r="B34" s="22" t="s">
        <v>609</v>
      </c>
      <c r="C34" s="21">
        <v>3.6666666666666665</v>
      </c>
      <c r="D34" s="15"/>
      <c r="E34" s="19" t="s">
        <v>653</v>
      </c>
      <c r="F34" s="22" t="s">
        <v>612</v>
      </c>
      <c r="G34" s="21">
        <v>3.75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654</v>
      </c>
      <c r="B35" s="22" t="s">
        <v>608</v>
      </c>
      <c r="C35" s="21">
        <v>2.0</v>
      </c>
      <c r="D35" s="15"/>
      <c r="E35" s="19" t="s">
        <v>654</v>
      </c>
      <c r="F35" s="22" t="s">
        <v>610</v>
      </c>
      <c r="G35" s="21">
        <v>2.5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23" t="s">
        <v>655</v>
      </c>
      <c r="B36" s="24"/>
      <c r="C36" s="25">
        <v>3.0</v>
      </c>
      <c r="D36" s="15"/>
      <c r="E36" s="23" t="s">
        <v>655</v>
      </c>
      <c r="F36" s="24"/>
      <c r="G36" s="25">
        <v>4.0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26"/>
      <c r="B37" s="26"/>
      <c r="C37" s="27"/>
      <c r="D37" s="15"/>
      <c r="E37" s="26"/>
      <c r="F37" s="26"/>
      <c r="G37" s="2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6" t="s">
        <v>656</v>
      </c>
      <c r="B38" s="17"/>
      <c r="C38" s="18"/>
      <c r="D38" s="15"/>
      <c r="E38" s="16" t="s">
        <v>656</v>
      </c>
      <c r="F38" s="17"/>
      <c r="G38" s="18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28" t="s">
        <v>657</v>
      </c>
      <c r="B39" s="29"/>
      <c r="C39" s="30" t="s">
        <v>618</v>
      </c>
      <c r="D39" s="15"/>
      <c r="E39" s="28" t="s">
        <v>657</v>
      </c>
      <c r="F39" s="29"/>
      <c r="G39" s="30" t="s">
        <v>618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31" t="s">
        <v>609</v>
      </c>
      <c r="B40" s="20"/>
      <c r="C40" s="21">
        <v>3.6666666666666665</v>
      </c>
      <c r="D40" s="15"/>
      <c r="E40" s="31" t="s">
        <v>612</v>
      </c>
      <c r="F40" s="20"/>
      <c r="G40" s="21">
        <v>3.75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31" t="s">
        <v>612</v>
      </c>
      <c r="B41" s="20"/>
      <c r="C41" s="21">
        <v>3.6666666666666665</v>
      </c>
      <c r="D41" s="15"/>
      <c r="E41" s="31" t="s">
        <v>617</v>
      </c>
      <c r="F41" s="20"/>
      <c r="G41" s="21">
        <v>3.5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31" t="s">
        <v>614</v>
      </c>
      <c r="B42" s="20"/>
      <c r="C42" s="21">
        <v>3.6666666666666665</v>
      </c>
      <c r="D42" s="15"/>
      <c r="E42" s="31" t="s">
        <v>608</v>
      </c>
      <c r="F42" s="20"/>
      <c r="G42" s="21">
        <v>3.25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31" t="s">
        <v>616</v>
      </c>
      <c r="B43" s="20"/>
      <c r="C43" s="21">
        <v>3.6666666666666665</v>
      </c>
      <c r="D43" s="15"/>
      <c r="E43" s="31" t="s">
        <v>609</v>
      </c>
      <c r="F43" s="20"/>
      <c r="G43" s="21">
        <v>3.25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31" t="s">
        <v>610</v>
      </c>
      <c r="B44" s="20"/>
      <c r="C44" s="21">
        <v>3.3333333333333335</v>
      </c>
      <c r="D44" s="15"/>
      <c r="E44" s="31" t="s">
        <v>611</v>
      </c>
      <c r="F44" s="20"/>
      <c r="G44" s="21">
        <v>3.25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31" t="s">
        <v>611</v>
      </c>
      <c r="B45" s="20"/>
      <c r="C45" s="21">
        <v>3.3333333333333335</v>
      </c>
      <c r="D45" s="15"/>
      <c r="E45" s="31" t="s">
        <v>616</v>
      </c>
      <c r="F45" s="20"/>
      <c r="G45" s="21">
        <v>3.25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31" t="s">
        <v>613</v>
      </c>
      <c r="B46" s="20"/>
      <c r="C46" s="21">
        <v>3.3333333333333335</v>
      </c>
      <c r="D46" s="15"/>
      <c r="E46" s="31" t="s">
        <v>613</v>
      </c>
      <c r="F46" s="20"/>
      <c r="G46" s="21">
        <v>3.0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31" t="s">
        <v>615</v>
      </c>
      <c r="B47" s="20"/>
      <c r="C47" s="21">
        <v>3.3333333333333335</v>
      </c>
      <c r="D47" s="15"/>
      <c r="E47" s="31" t="s">
        <v>615</v>
      </c>
      <c r="F47" s="20"/>
      <c r="G47" s="21">
        <v>3.0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31" t="s">
        <v>617</v>
      </c>
      <c r="B48" s="20"/>
      <c r="C48" s="21">
        <v>3.0</v>
      </c>
      <c r="D48" s="15"/>
      <c r="E48" s="31" t="s">
        <v>607</v>
      </c>
      <c r="F48" s="20"/>
      <c r="G48" s="21">
        <v>2.75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31" t="s">
        <v>607</v>
      </c>
      <c r="B49" s="20"/>
      <c r="C49" s="21">
        <v>2.3333333333333335</v>
      </c>
      <c r="D49" s="15"/>
      <c r="E49" s="31" t="s">
        <v>614</v>
      </c>
      <c r="F49" s="20"/>
      <c r="G49" s="21">
        <v>2.75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32" t="s">
        <v>608</v>
      </c>
      <c r="B50" s="24"/>
      <c r="C50" s="25">
        <v>2.0</v>
      </c>
      <c r="D50" s="15"/>
      <c r="E50" s="32" t="s">
        <v>610</v>
      </c>
      <c r="F50" s="24"/>
      <c r="G50" s="25">
        <v>2.5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26"/>
      <c r="B51" s="26"/>
      <c r="C51" s="27"/>
      <c r="D51" s="15"/>
      <c r="E51" s="26"/>
      <c r="F51" s="26"/>
      <c r="G51" s="2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6" t="s">
        <v>658</v>
      </c>
      <c r="B52" s="17"/>
      <c r="C52" s="18"/>
      <c r="D52" s="15"/>
      <c r="E52" s="16" t="s">
        <v>658</v>
      </c>
      <c r="F52" s="17"/>
      <c r="G52" s="18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33" t="s">
        <v>659</v>
      </c>
      <c r="B53" s="34"/>
      <c r="C53" s="35" t="s">
        <v>618</v>
      </c>
      <c r="D53" s="15"/>
      <c r="E53" s="33" t="s">
        <v>659</v>
      </c>
      <c r="F53" s="34"/>
      <c r="G53" s="35" t="s">
        <v>618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36" t="s">
        <v>624</v>
      </c>
      <c r="B54" s="37" t="s">
        <v>660</v>
      </c>
      <c r="C54" s="38">
        <v>3.4545454545454546</v>
      </c>
      <c r="D54" s="15"/>
      <c r="E54" s="36" t="s">
        <v>639</v>
      </c>
      <c r="F54" s="37" t="s">
        <v>660</v>
      </c>
      <c r="G54" s="38">
        <v>3.3636363636363638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36" t="s">
        <v>621</v>
      </c>
      <c r="B55" s="37" t="s">
        <v>661</v>
      </c>
      <c r="C55" s="38">
        <v>3.1818181818181817</v>
      </c>
      <c r="D55" s="15"/>
      <c r="E55" s="36" t="s">
        <v>627</v>
      </c>
      <c r="F55" s="37" t="s">
        <v>660</v>
      </c>
      <c r="G55" s="38">
        <v>3.3636363636363638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39" t="s">
        <v>630</v>
      </c>
      <c r="B56" s="40" t="s">
        <v>660</v>
      </c>
      <c r="C56" s="41">
        <v>3.0</v>
      </c>
      <c r="D56" s="15"/>
      <c r="E56" s="36" t="s">
        <v>630</v>
      </c>
      <c r="F56" s="37" t="s">
        <v>660</v>
      </c>
      <c r="G56" s="38">
        <v>2.909090909090909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39" t="s">
        <v>622</v>
      </c>
      <c r="F57" s="40" t="s">
        <v>661</v>
      </c>
      <c r="G57" s="41">
        <v>2.8181818181818183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1.0" customHeight="1">
      <c r="A60" s="14" t="s">
        <v>664</v>
      </c>
      <c r="D60" s="15"/>
      <c r="E60" s="14" t="s">
        <v>665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6" t="s">
        <v>651</v>
      </c>
      <c r="B61" s="17"/>
      <c r="C61" s="18"/>
      <c r="D61" s="15"/>
      <c r="E61" s="16" t="s">
        <v>651</v>
      </c>
      <c r="F61" s="17"/>
      <c r="G61" s="18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652</v>
      </c>
      <c r="B62" s="20"/>
      <c r="C62" s="42"/>
      <c r="D62" s="15"/>
      <c r="E62" s="19" t="s">
        <v>652</v>
      </c>
      <c r="F62" s="20"/>
      <c r="G62" s="21">
        <v>2.5454545454545454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653</v>
      </c>
      <c r="B63" s="20"/>
      <c r="C63" s="42"/>
      <c r="D63" s="15"/>
      <c r="E63" s="19" t="s">
        <v>653</v>
      </c>
      <c r="F63" s="22" t="s">
        <v>613</v>
      </c>
      <c r="G63" s="21">
        <v>3.5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654</v>
      </c>
      <c r="B64" s="20"/>
      <c r="C64" s="42"/>
      <c r="D64" s="15"/>
      <c r="E64" s="19" t="s">
        <v>654</v>
      </c>
      <c r="F64" s="22" t="s">
        <v>609</v>
      </c>
      <c r="G64" s="21">
        <v>1.0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23" t="s">
        <v>655</v>
      </c>
      <c r="B65" s="24"/>
      <c r="C65" s="25">
        <v>0.0</v>
      </c>
      <c r="D65" s="15"/>
      <c r="E65" s="23" t="s">
        <v>655</v>
      </c>
      <c r="F65" s="24"/>
      <c r="G65" s="25">
        <v>2.0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26"/>
      <c r="B66" s="26"/>
      <c r="C66" s="27"/>
      <c r="D66" s="15"/>
      <c r="E66" s="26"/>
      <c r="F66" s="26"/>
      <c r="G66" s="2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6" t="s">
        <v>656</v>
      </c>
      <c r="B67" s="17"/>
      <c r="C67" s="18"/>
      <c r="D67" s="15"/>
      <c r="E67" s="16" t="s">
        <v>656</v>
      </c>
      <c r="F67" s="17"/>
      <c r="G67" s="18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28" t="s">
        <v>657</v>
      </c>
      <c r="B68" s="29"/>
      <c r="C68" s="30" t="s">
        <v>618</v>
      </c>
      <c r="D68" s="15"/>
      <c r="E68" s="28" t="s">
        <v>657</v>
      </c>
      <c r="F68" s="29"/>
      <c r="G68" s="30" t="s">
        <v>618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43" t="s">
        <v>666</v>
      </c>
      <c r="B69" s="44"/>
      <c r="C69" s="45"/>
      <c r="D69" s="15"/>
      <c r="E69" s="31" t="s">
        <v>613</v>
      </c>
      <c r="F69" s="20"/>
      <c r="G69" s="21">
        <v>3.5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26"/>
      <c r="B70" s="26"/>
      <c r="C70" s="27"/>
      <c r="D70" s="15"/>
      <c r="E70" s="31" t="s">
        <v>616</v>
      </c>
      <c r="F70" s="20"/>
      <c r="G70" s="21">
        <v>3.5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6" t="s">
        <v>658</v>
      </c>
      <c r="B71" s="17"/>
      <c r="C71" s="18"/>
      <c r="D71" s="15"/>
      <c r="E71" s="31" t="s">
        <v>608</v>
      </c>
      <c r="F71" s="20"/>
      <c r="G71" s="21">
        <v>3.0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33" t="s">
        <v>659</v>
      </c>
      <c r="B72" s="34"/>
      <c r="C72" s="35" t="s">
        <v>618</v>
      </c>
      <c r="D72" s="15"/>
      <c r="E72" s="31" t="s">
        <v>610</v>
      </c>
      <c r="F72" s="20"/>
      <c r="G72" s="21">
        <v>3.0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43" t="s">
        <v>666</v>
      </c>
      <c r="B73" s="44"/>
      <c r="C73" s="45"/>
      <c r="D73" s="15"/>
      <c r="E73" s="31" t="s">
        <v>612</v>
      </c>
      <c r="F73" s="20"/>
      <c r="G73" s="21">
        <v>3.0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31" t="s">
        <v>617</v>
      </c>
      <c r="F74" s="20"/>
      <c r="G74" s="21">
        <v>3.0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31" t="s">
        <v>615</v>
      </c>
      <c r="F75" s="20"/>
      <c r="G75" s="21">
        <v>2.5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31" t="s">
        <v>611</v>
      </c>
      <c r="F76" s="20"/>
      <c r="G76" s="21">
        <v>2.0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31" t="s">
        <v>614</v>
      </c>
      <c r="F77" s="20"/>
      <c r="G77" s="21">
        <v>2.0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31" t="s">
        <v>607</v>
      </c>
      <c r="F78" s="20"/>
      <c r="G78" s="21">
        <v>1.5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32" t="s">
        <v>609</v>
      </c>
      <c r="F79" s="24"/>
      <c r="G79" s="25">
        <v>1.0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26"/>
      <c r="F80" s="26"/>
      <c r="G80" s="2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6" t="s">
        <v>658</v>
      </c>
      <c r="F81" s="17"/>
      <c r="G81" s="18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33" t="s">
        <v>659</v>
      </c>
      <c r="F82" s="34"/>
      <c r="G82" s="35" t="s">
        <v>618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36" t="s">
        <v>629</v>
      </c>
      <c r="F83" s="37" t="s">
        <v>660</v>
      </c>
      <c r="G83" s="38">
        <v>2.727272727272727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39" t="s">
        <v>620</v>
      </c>
      <c r="F84" s="40" t="s">
        <v>661</v>
      </c>
      <c r="G84" s="41">
        <v>2.3636363636363638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1.0" customHeight="1">
      <c r="A87" s="14" t="s">
        <v>667</v>
      </c>
      <c r="D87" s="15"/>
      <c r="E87" s="14" t="s">
        <v>668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6" t="s">
        <v>651</v>
      </c>
      <c r="B88" s="17"/>
      <c r="C88" s="18"/>
      <c r="D88" s="15"/>
      <c r="E88" s="16" t="s">
        <v>651</v>
      </c>
      <c r="F88" s="17"/>
      <c r="G88" s="18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652</v>
      </c>
      <c r="B89" s="20"/>
      <c r="C89" s="21">
        <v>3.272727272727273</v>
      </c>
      <c r="D89" s="15"/>
      <c r="E89" s="19" t="s">
        <v>652</v>
      </c>
      <c r="F89" s="20"/>
      <c r="G89" s="21">
        <v>2.896103896103896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653</v>
      </c>
      <c r="B90" s="22" t="s">
        <v>608</v>
      </c>
      <c r="C90" s="21">
        <v>3.75</v>
      </c>
      <c r="D90" s="15"/>
      <c r="E90" s="19" t="s">
        <v>653</v>
      </c>
      <c r="F90" s="22" t="s">
        <v>615</v>
      </c>
      <c r="G90" s="21">
        <v>3.5714285714285716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654</v>
      </c>
      <c r="B91" s="22" t="s">
        <v>610</v>
      </c>
      <c r="C91" s="21">
        <v>2.5</v>
      </c>
      <c r="D91" s="15"/>
      <c r="E91" s="19" t="s">
        <v>654</v>
      </c>
      <c r="F91" s="22" t="s">
        <v>613</v>
      </c>
      <c r="G91" s="21">
        <v>2.142857142857143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23" t="s">
        <v>655</v>
      </c>
      <c r="B92" s="24"/>
      <c r="C92" s="25">
        <v>4.0</v>
      </c>
      <c r="D92" s="15"/>
      <c r="E92" s="23" t="s">
        <v>655</v>
      </c>
      <c r="F92" s="24"/>
      <c r="G92" s="25">
        <v>7.0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26"/>
      <c r="B93" s="26"/>
      <c r="C93" s="27"/>
      <c r="D93" s="15"/>
      <c r="E93" s="26"/>
      <c r="F93" s="26"/>
      <c r="G93" s="2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6" t="s">
        <v>656</v>
      </c>
      <c r="B94" s="17"/>
      <c r="C94" s="18"/>
      <c r="D94" s="15"/>
      <c r="E94" s="16" t="s">
        <v>656</v>
      </c>
      <c r="F94" s="17"/>
      <c r="G94" s="18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28" t="s">
        <v>657</v>
      </c>
      <c r="B95" s="29"/>
      <c r="C95" s="30" t="s">
        <v>618</v>
      </c>
      <c r="D95" s="15"/>
      <c r="E95" s="28" t="s">
        <v>657</v>
      </c>
      <c r="F95" s="29"/>
      <c r="G95" s="30" t="s">
        <v>618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31" t="s">
        <v>608</v>
      </c>
      <c r="B96" s="20"/>
      <c r="C96" s="21">
        <v>3.75</v>
      </c>
      <c r="D96" s="15"/>
      <c r="E96" s="31" t="s">
        <v>615</v>
      </c>
      <c r="F96" s="20"/>
      <c r="G96" s="21">
        <v>3.5714285714285716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31" t="s">
        <v>609</v>
      </c>
      <c r="B97" s="20"/>
      <c r="C97" s="21">
        <v>3.5</v>
      </c>
      <c r="D97" s="15"/>
      <c r="E97" s="31" t="s">
        <v>609</v>
      </c>
      <c r="F97" s="20"/>
      <c r="G97" s="21">
        <v>3.142857142857143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31" t="s">
        <v>615</v>
      </c>
      <c r="B98" s="20"/>
      <c r="C98" s="21">
        <v>3.5</v>
      </c>
      <c r="D98" s="15"/>
      <c r="E98" s="31" t="s">
        <v>610</v>
      </c>
      <c r="F98" s="20"/>
      <c r="G98" s="21">
        <v>3.142857142857143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31" t="s">
        <v>617</v>
      </c>
      <c r="B99" s="20"/>
      <c r="C99" s="21">
        <v>3.5</v>
      </c>
      <c r="D99" s="15"/>
      <c r="E99" s="31" t="s">
        <v>612</v>
      </c>
      <c r="F99" s="20"/>
      <c r="G99" s="21">
        <v>3.142857142857143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31" t="s">
        <v>607</v>
      </c>
      <c r="B100" s="20"/>
      <c r="C100" s="21">
        <v>3.25</v>
      </c>
      <c r="D100" s="15"/>
      <c r="E100" s="31" t="s">
        <v>614</v>
      </c>
      <c r="F100" s="20"/>
      <c r="G100" s="21">
        <v>3.142857142857143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31" t="s">
        <v>611</v>
      </c>
      <c r="B101" s="20"/>
      <c r="C101" s="21">
        <v>3.25</v>
      </c>
      <c r="D101" s="15"/>
      <c r="E101" s="31" t="s">
        <v>607</v>
      </c>
      <c r="F101" s="20"/>
      <c r="G101" s="21">
        <v>2.857142857142857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31" t="s">
        <v>612</v>
      </c>
      <c r="B102" s="20"/>
      <c r="C102" s="21">
        <v>3.25</v>
      </c>
      <c r="D102" s="15"/>
      <c r="E102" s="31" t="s">
        <v>608</v>
      </c>
      <c r="F102" s="20"/>
      <c r="G102" s="21">
        <v>2.857142857142857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31" t="s">
        <v>613</v>
      </c>
      <c r="B103" s="20"/>
      <c r="C103" s="21">
        <v>3.25</v>
      </c>
      <c r="D103" s="15"/>
      <c r="E103" s="31" t="s">
        <v>617</v>
      </c>
      <c r="F103" s="20"/>
      <c r="G103" s="21">
        <v>2.857142857142857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31" t="s">
        <v>616</v>
      </c>
      <c r="B104" s="20"/>
      <c r="C104" s="21">
        <v>3.25</v>
      </c>
      <c r="D104" s="15"/>
      <c r="E104" s="31" t="s">
        <v>611</v>
      </c>
      <c r="F104" s="20"/>
      <c r="G104" s="21">
        <v>2.5714285714285716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31" t="s">
        <v>614</v>
      </c>
      <c r="B105" s="20"/>
      <c r="C105" s="21">
        <v>3.0</v>
      </c>
      <c r="D105" s="15"/>
      <c r="E105" s="31" t="s">
        <v>616</v>
      </c>
      <c r="F105" s="20"/>
      <c r="G105" s="21">
        <v>2.4285714285714284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32" t="s">
        <v>610</v>
      </c>
      <c r="B106" s="24"/>
      <c r="C106" s="25">
        <v>2.5</v>
      </c>
      <c r="D106" s="15"/>
      <c r="E106" s="32" t="s">
        <v>613</v>
      </c>
      <c r="F106" s="24"/>
      <c r="G106" s="25">
        <v>2.142857142857143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26"/>
      <c r="B107" s="26"/>
      <c r="C107" s="27"/>
      <c r="D107" s="15"/>
      <c r="E107" s="26"/>
      <c r="F107" s="26"/>
      <c r="G107" s="2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6" t="s">
        <v>658</v>
      </c>
      <c r="B108" s="17"/>
      <c r="C108" s="18"/>
      <c r="D108" s="15"/>
      <c r="E108" s="16" t="s">
        <v>658</v>
      </c>
      <c r="F108" s="17"/>
      <c r="G108" s="18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33" t="s">
        <v>659</v>
      </c>
      <c r="B109" s="34"/>
      <c r="C109" s="35" t="s">
        <v>618</v>
      </c>
      <c r="D109" s="15"/>
      <c r="E109" s="33" t="s">
        <v>659</v>
      </c>
      <c r="F109" s="34"/>
      <c r="G109" s="35" t="s">
        <v>618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36" t="s">
        <v>634</v>
      </c>
      <c r="B110" s="37" t="s">
        <v>660</v>
      </c>
      <c r="C110" s="38">
        <v>3.5454545454545454</v>
      </c>
      <c r="D110" s="15"/>
      <c r="E110" s="36" t="s">
        <v>620</v>
      </c>
      <c r="F110" s="37" t="s">
        <v>661</v>
      </c>
      <c r="G110" s="38">
        <v>3.3636363636363638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36" t="s">
        <v>641</v>
      </c>
      <c r="B111" s="37" t="s">
        <v>660</v>
      </c>
      <c r="C111" s="38">
        <v>3.272727272727273</v>
      </c>
      <c r="D111" s="15"/>
      <c r="E111" s="36" t="s">
        <v>645</v>
      </c>
      <c r="F111" s="37" t="s">
        <v>660</v>
      </c>
      <c r="G111" s="38">
        <v>3.1818181818181817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36" t="s">
        <v>622</v>
      </c>
      <c r="B112" s="37" t="s">
        <v>661</v>
      </c>
      <c r="C112" s="38">
        <v>3.1818181818181817</v>
      </c>
      <c r="D112" s="15"/>
      <c r="E112" s="36" t="s">
        <v>623</v>
      </c>
      <c r="F112" s="37" t="s">
        <v>660</v>
      </c>
      <c r="G112" s="38">
        <v>3.090909090909091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39" t="s">
        <v>640</v>
      </c>
      <c r="B113" s="40" t="s">
        <v>660</v>
      </c>
      <c r="C113" s="41">
        <v>3.090909090909091</v>
      </c>
      <c r="D113" s="15"/>
      <c r="E113" s="36" t="s">
        <v>624</v>
      </c>
      <c r="F113" s="37" t="s">
        <v>660</v>
      </c>
      <c r="G113" s="38">
        <v>2.909090909090909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36" t="s">
        <v>638</v>
      </c>
      <c r="F114" s="37" t="s">
        <v>660</v>
      </c>
      <c r="G114" s="38">
        <v>2.8181818181818183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36" t="s">
        <v>634</v>
      </c>
      <c r="F115" s="37" t="s">
        <v>660</v>
      </c>
      <c r="G115" s="38">
        <v>2.5454545454545454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39" t="s">
        <v>632</v>
      </c>
      <c r="F116" s="40" t="s">
        <v>660</v>
      </c>
      <c r="G116" s="41">
        <v>2.3636363636363638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1.0" customHeight="1">
      <c r="A119" s="14" t="s">
        <v>669</v>
      </c>
      <c r="D119" s="15"/>
      <c r="E119" s="14" t="s">
        <v>670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6" t="s">
        <v>651</v>
      </c>
      <c r="B120" s="17"/>
      <c r="C120" s="18"/>
      <c r="D120" s="15"/>
      <c r="E120" s="16" t="s">
        <v>651</v>
      </c>
      <c r="F120" s="17"/>
      <c r="G120" s="18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652</v>
      </c>
      <c r="B121" s="20"/>
      <c r="C121" s="21">
        <v>3.2207792207792205</v>
      </c>
      <c r="D121" s="15"/>
      <c r="E121" s="19" t="s">
        <v>652</v>
      </c>
      <c r="F121" s="20"/>
      <c r="G121" s="21">
        <v>3.060606060606061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653</v>
      </c>
      <c r="B122" s="22" t="s">
        <v>614</v>
      </c>
      <c r="C122" s="21">
        <v>3.7142857142857144</v>
      </c>
      <c r="D122" s="15"/>
      <c r="E122" s="19" t="s">
        <v>653</v>
      </c>
      <c r="F122" s="22" t="s">
        <v>610</v>
      </c>
      <c r="G122" s="21">
        <v>3.3333333333333335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654</v>
      </c>
      <c r="B123" s="22" t="s">
        <v>611</v>
      </c>
      <c r="C123" s="21">
        <v>2.857142857142857</v>
      </c>
      <c r="D123" s="15"/>
      <c r="E123" s="19" t="s">
        <v>654</v>
      </c>
      <c r="F123" s="22" t="s">
        <v>609</v>
      </c>
      <c r="G123" s="21">
        <v>2.3333333333333335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23" t="s">
        <v>655</v>
      </c>
      <c r="B124" s="24"/>
      <c r="C124" s="25">
        <v>7.0</v>
      </c>
      <c r="D124" s="15"/>
      <c r="E124" s="23" t="s">
        <v>655</v>
      </c>
      <c r="F124" s="24"/>
      <c r="G124" s="25">
        <v>3.0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26"/>
      <c r="B125" s="26"/>
      <c r="C125" s="27"/>
      <c r="D125" s="15"/>
      <c r="E125" s="26"/>
      <c r="F125" s="26"/>
      <c r="G125" s="2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6" t="s">
        <v>656</v>
      </c>
      <c r="B126" s="17"/>
      <c r="C126" s="18"/>
      <c r="D126" s="15"/>
      <c r="E126" s="16" t="s">
        <v>656</v>
      </c>
      <c r="F126" s="17"/>
      <c r="G126" s="18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28" t="s">
        <v>657</v>
      </c>
      <c r="B127" s="29"/>
      <c r="C127" s="30" t="s">
        <v>618</v>
      </c>
      <c r="D127" s="15"/>
      <c r="E127" s="28" t="s">
        <v>657</v>
      </c>
      <c r="F127" s="29"/>
      <c r="G127" s="30" t="s">
        <v>618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31" t="s">
        <v>614</v>
      </c>
      <c r="B128" s="20"/>
      <c r="C128" s="21">
        <v>3.7142857142857144</v>
      </c>
      <c r="D128" s="15"/>
      <c r="E128" s="31" t="s">
        <v>610</v>
      </c>
      <c r="F128" s="20"/>
      <c r="G128" s="21">
        <v>3.3333333333333335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31" t="s">
        <v>612</v>
      </c>
      <c r="B129" s="20"/>
      <c r="C129" s="21">
        <v>3.5714285714285716</v>
      </c>
      <c r="D129" s="15"/>
      <c r="E129" s="31" t="s">
        <v>611</v>
      </c>
      <c r="F129" s="20"/>
      <c r="G129" s="21">
        <v>3.3333333333333335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31" t="s">
        <v>610</v>
      </c>
      <c r="B130" s="20"/>
      <c r="C130" s="21">
        <v>3.4285714285714284</v>
      </c>
      <c r="D130" s="15"/>
      <c r="E130" s="31" t="s">
        <v>612</v>
      </c>
      <c r="F130" s="20"/>
      <c r="G130" s="21">
        <v>3.3333333333333335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31" t="s">
        <v>617</v>
      </c>
      <c r="B131" s="20"/>
      <c r="C131" s="21">
        <v>3.2857142857142856</v>
      </c>
      <c r="D131" s="15"/>
      <c r="E131" s="31" t="s">
        <v>614</v>
      </c>
      <c r="F131" s="20"/>
      <c r="G131" s="21">
        <v>3.3333333333333335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31" t="s">
        <v>607</v>
      </c>
      <c r="B132" s="20"/>
      <c r="C132" s="21">
        <v>3.142857142857143</v>
      </c>
      <c r="D132" s="15"/>
      <c r="E132" s="31" t="s">
        <v>616</v>
      </c>
      <c r="F132" s="20"/>
      <c r="G132" s="21">
        <v>3.3333333333333335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31" t="s">
        <v>608</v>
      </c>
      <c r="B133" s="20"/>
      <c r="C133" s="21">
        <v>3.142857142857143</v>
      </c>
      <c r="D133" s="15"/>
      <c r="E133" s="31" t="s">
        <v>608</v>
      </c>
      <c r="F133" s="20"/>
      <c r="G133" s="21">
        <v>3.0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31" t="s">
        <v>613</v>
      </c>
      <c r="B134" s="20"/>
      <c r="C134" s="21">
        <v>3.142857142857143</v>
      </c>
      <c r="D134" s="15"/>
      <c r="E134" s="31" t="s">
        <v>613</v>
      </c>
      <c r="F134" s="20"/>
      <c r="G134" s="21">
        <v>3.0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31" t="s">
        <v>616</v>
      </c>
      <c r="B135" s="20"/>
      <c r="C135" s="21">
        <v>3.142857142857143</v>
      </c>
      <c r="D135" s="15"/>
      <c r="E135" s="31" t="s">
        <v>615</v>
      </c>
      <c r="F135" s="20"/>
      <c r="G135" s="21">
        <v>3.0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31" t="s">
        <v>609</v>
      </c>
      <c r="B136" s="20"/>
      <c r="C136" s="21">
        <v>3.0</v>
      </c>
      <c r="D136" s="15"/>
      <c r="E136" s="31" t="s">
        <v>617</v>
      </c>
      <c r="F136" s="20"/>
      <c r="G136" s="21">
        <v>3.0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31" t="s">
        <v>615</v>
      </c>
      <c r="B137" s="20"/>
      <c r="C137" s="21">
        <v>3.0</v>
      </c>
      <c r="D137" s="15"/>
      <c r="E137" s="31" t="s">
        <v>607</v>
      </c>
      <c r="F137" s="20"/>
      <c r="G137" s="21">
        <v>2.6666666666666665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32" t="s">
        <v>611</v>
      </c>
      <c r="B138" s="24"/>
      <c r="C138" s="25">
        <v>2.857142857142857</v>
      </c>
      <c r="D138" s="15"/>
      <c r="E138" s="32" t="s">
        <v>609</v>
      </c>
      <c r="F138" s="24"/>
      <c r="G138" s="25">
        <v>2.3333333333333335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26"/>
      <c r="B139" s="26"/>
      <c r="C139" s="27"/>
      <c r="D139" s="15"/>
      <c r="E139" s="26"/>
      <c r="F139" s="26"/>
      <c r="G139" s="2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6" t="s">
        <v>658</v>
      </c>
      <c r="B140" s="17"/>
      <c r="C140" s="18"/>
      <c r="D140" s="15"/>
      <c r="E140" s="16" t="s">
        <v>658</v>
      </c>
      <c r="F140" s="17"/>
      <c r="G140" s="18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33" t="s">
        <v>659</v>
      </c>
      <c r="B141" s="34"/>
      <c r="C141" s="35" t="s">
        <v>618</v>
      </c>
      <c r="D141" s="15"/>
      <c r="E141" s="33" t="s">
        <v>659</v>
      </c>
      <c r="F141" s="34"/>
      <c r="G141" s="35" t="s">
        <v>618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36" t="s">
        <v>632</v>
      </c>
      <c r="B142" s="37" t="s">
        <v>660</v>
      </c>
      <c r="C142" s="38">
        <v>3.4545454545454546</v>
      </c>
      <c r="D142" s="15"/>
      <c r="E142" s="36" t="s">
        <v>642</v>
      </c>
      <c r="F142" s="37" t="s">
        <v>660</v>
      </c>
      <c r="G142" s="38">
        <v>3.3636363636363638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36" t="s">
        <v>633</v>
      </c>
      <c r="B143" s="37" t="s">
        <v>660</v>
      </c>
      <c r="C143" s="38">
        <v>3.3636363636363638</v>
      </c>
      <c r="D143" s="15"/>
      <c r="E143" s="36" t="s">
        <v>626</v>
      </c>
      <c r="F143" s="37" t="s">
        <v>661</v>
      </c>
      <c r="G143" s="38">
        <v>3.090909090909091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36" t="s">
        <v>641</v>
      </c>
      <c r="B144" s="37" t="s">
        <v>660</v>
      </c>
      <c r="C144" s="38">
        <v>3.272727272727273</v>
      </c>
      <c r="D144" s="15"/>
      <c r="E144" s="39" t="s">
        <v>636</v>
      </c>
      <c r="F144" s="40" t="s">
        <v>660</v>
      </c>
      <c r="G144" s="41">
        <v>2.727272727272727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36" t="s">
        <v>627</v>
      </c>
      <c r="B145" s="37" t="s">
        <v>660</v>
      </c>
      <c r="C145" s="38">
        <v>3.272727272727273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36" t="s">
        <v>635</v>
      </c>
      <c r="B146" s="37" t="s">
        <v>660</v>
      </c>
      <c r="C146" s="38">
        <v>3.1818181818181817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36" t="s">
        <v>622</v>
      </c>
      <c r="B147" s="37" t="s">
        <v>661</v>
      </c>
      <c r="C147" s="38">
        <v>3.090909090909091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39" t="s">
        <v>625</v>
      </c>
      <c r="B148" s="40" t="s">
        <v>660</v>
      </c>
      <c r="C148" s="41">
        <v>2.909090909090909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40">
    <mergeCell ref="A1:C1"/>
    <mergeCell ref="E1:G1"/>
    <mergeCell ref="A2:C2"/>
    <mergeCell ref="E2:G2"/>
    <mergeCell ref="A8:C8"/>
    <mergeCell ref="E8:G8"/>
    <mergeCell ref="E22:G22"/>
    <mergeCell ref="A22:C22"/>
    <mergeCell ref="A31:C31"/>
    <mergeCell ref="E31:G31"/>
    <mergeCell ref="A32:C32"/>
    <mergeCell ref="E32:G32"/>
    <mergeCell ref="A38:C38"/>
    <mergeCell ref="E38:G38"/>
    <mergeCell ref="A52:C52"/>
    <mergeCell ref="E52:G52"/>
    <mergeCell ref="A60:C60"/>
    <mergeCell ref="E60:G60"/>
    <mergeCell ref="A61:C61"/>
    <mergeCell ref="E61:G61"/>
    <mergeCell ref="E67:G67"/>
    <mergeCell ref="A67:C67"/>
    <mergeCell ref="A71:C71"/>
    <mergeCell ref="E81:G81"/>
    <mergeCell ref="A87:C87"/>
    <mergeCell ref="E87:G87"/>
    <mergeCell ref="A88:C88"/>
    <mergeCell ref="E88:G88"/>
    <mergeCell ref="A120:C120"/>
    <mergeCell ref="A126:C126"/>
    <mergeCell ref="E126:G126"/>
    <mergeCell ref="A140:C140"/>
    <mergeCell ref="E140:G140"/>
    <mergeCell ref="A94:C94"/>
    <mergeCell ref="E94:G94"/>
    <mergeCell ref="A108:C108"/>
    <mergeCell ref="E108:G108"/>
    <mergeCell ref="A119:C119"/>
    <mergeCell ref="E119:G119"/>
    <mergeCell ref="E120:G1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25.88"/>
    <col customWidth="1" min="5" max="5" width="47.5"/>
  </cols>
  <sheetData>
    <row r="1">
      <c r="A1" s="7" t="s">
        <v>671</v>
      </c>
      <c r="B1" s="7" t="s">
        <v>672</v>
      </c>
      <c r="C1" s="7" t="s">
        <v>673</v>
      </c>
      <c r="D1" s="7" t="s">
        <v>674</v>
      </c>
      <c r="E1" s="7" t="s">
        <v>675</v>
      </c>
      <c r="F1" s="46"/>
    </row>
    <row r="2">
      <c r="A2" s="47">
        <v>46086.44195328704</v>
      </c>
      <c r="B2" s="12" t="s">
        <v>558</v>
      </c>
      <c r="C2" s="12" t="s">
        <v>641</v>
      </c>
      <c r="D2" s="12" t="s">
        <v>660</v>
      </c>
      <c r="E2" s="48" t="s">
        <v>562</v>
      </c>
      <c r="F2" s="48"/>
    </row>
    <row r="3">
      <c r="A3" s="47">
        <v>46086.44195328704</v>
      </c>
      <c r="B3" s="12" t="s">
        <v>558</v>
      </c>
      <c r="C3" s="12" t="s">
        <v>628</v>
      </c>
      <c r="D3" s="12" t="s">
        <v>660</v>
      </c>
      <c r="E3" s="48" t="s">
        <v>560</v>
      </c>
      <c r="F3" s="48"/>
    </row>
    <row r="4">
      <c r="A4" s="47">
        <v>46086.44195328704</v>
      </c>
      <c r="B4" s="12" t="s">
        <v>558</v>
      </c>
      <c r="C4" s="12" t="s">
        <v>619</v>
      </c>
      <c r="D4" s="12" t="s">
        <v>661</v>
      </c>
      <c r="E4" s="48" t="s">
        <v>559</v>
      </c>
      <c r="F4" s="48"/>
    </row>
    <row r="5">
      <c r="A5" s="47">
        <v>46086.44195328704</v>
      </c>
      <c r="B5" s="12" t="s">
        <v>558</v>
      </c>
      <c r="C5" s="12" t="s">
        <v>627</v>
      </c>
      <c r="D5" s="12" t="s">
        <v>660</v>
      </c>
      <c r="E5" s="48" t="s">
        <v>563</v>
      </c>
      <c r="F5" s="48"/>
    </row>
    <row r="6">
      <c r="A6" s="47">
        <v>46086.44195328704</v>
      </c>
      <c r="B6" s="12" t="s">
        <v>558</v>
      </c>
      <c r="C6" s="12" t="s">
        <v>623</v>
      </c>
      <c r="D6" s="12" t="s">
        <v>660</v>
      </c>
      <c r="E6" s="48" t="s">
        <v>561</v>
      </c>
      <c r="F6" s="48"/>
    </row>
    <row r="7">
      <c r="A7" s="47">
        <v>46086.44195328704</v>
      </c>
      <c r="B7" s="12" t="s">
        <v>601</v>
      </c>
      <c r="C7" s="12" t="s">
        <v>637</v>
      </c>
      <c r="D7" s="12" t="s">
        <v>660</v>
      </c>
      <c r="E7" s="48" t="s">
        <v>603</v>
      </c>
      <c r="F7" s="48"/>
    </row>
    <row r="8">
      <c r="A8" s="47">
        <v>46086.44195328704</v>
      </c>
      <c r="B8" s="12" t="s">
        <v>601</v>
      </c>
      <c r="C8" s="12" t="s">
        <v>643</v>
      </c>
      <c r="D8" s="12" t="s">
        <v>660</v>
      </c>
      <c r="E8" s="48" t="s">
        <v>604</v>
      </c>
      <c r="F8" s="48"/>
    </row>
    <row r="9">
      <c r="A9" s="47">
        <v>46086.44195328704</v>
      </c>
      <c r="B9" s="12" t="s">
        <v>601</v>
      </c>
      <c r="C9" s="12" t="s">
        <v>627</v>
      </c>
      <c r="D9" s="12" t="s">
        <v>661</v>
      </c>
      <c r="E9" s="48" t="s">
        <v>602</v>
      </c>
      <c r="F9" s="48"/>
    </row>
    <row r="10">
      <c r="A10" s="47">
        <v>46086.44195328704</v>
      </c>
      <c r="B10" s="12" t="s">
        <v>567</v>
      </c>
      <c r="C10" s="12" t="s">
        <v>630</v>
      </c>
      <c r="D10" s="12" t="s">
        <v>660</v>
      </c>
      <c r="E10" s="48" t="s">
        <v>569</v>
      </c>
      <c r="F10" s="48"/>
    </row>
    <row r="11">
      <c r="A11" s="47">
        <v>46086.44195328704</v>
      </c>
      <c r="B11" s="12" t="s">
        <v>567</v>
      </c>
      <c r="C11" s="12" t="s">
        <v>624</v>
      </c>
      <c r="D11" s="12" t="s">
        <v>660</v>
      </c>
      <c r="E11" s="48" t="s">
        <v>570</v>
      </c>
      <c r="F11" s="48"/>
    </row>
    <row r="12">
      <c r="A12" s="47">
        <v>46086.44195328704</v>
      </c>
      <c r="B12" s="12" t="s">
        <v>567</v>
      </c>
      <c r="C12" s="12" t="s">
        <v>621</v>
      </c>
      <c r="D12" s="12" t="s">
        <v>661</v>
      </c>
      <c r="E12" s="48" t="s">
        <v>568</v>
      </c>
      <c r="F12" s="48"/>
    </row>
    <row r="13">
      <c r="A13" s="47">
        <v>46086.44195328704</v>
      </c>
      <c r="B13" s="12" t="s">
        <v>579</v>
      </c>
      <c r="C13" s="12" t="s">
        <v>630</v>
      </c>
      <c r="D13" s="12" t="s">
        <v>660</v>
      </c>
      <c r="E13" s="48" t="s">
        <v>581</v>
      </c>
      <c r="F13" s="48"/>
    </row>
    <row r="14">
      <c r="A14" s="47">
        <v>46086.44195328704</v>
      </c>
      <c r="B14" s="12" t="s">
        <v>579</v>
      </c>
      <c r="C14" s="12" t="s">
        <v>622</v>
      </c>
      <c r="D14" s="12" t="s">
        <v>661</v>
      </c>
      <c r="E14" s="48" t="s">
        <v>580</v>
      </c>
      <c r="F14" s="48"/>
    </row>
    <row r="15">
      <c r="A15" s="47">
        <v>46086.44195328704</v>
      </c>
      <c r="B15" s="12" t="s">
        <v>579</v>
      </c>
      <c r="C15" s="12" t="s">
        <v>639</v>
      </c>
      <c r="D15" s="12" t="s">
        <v>660</v>
      </c>
      <c r="E15" s="48" t="s">
        <v>582</v>
      </c>
      <c r="F15" s="48"/>
    </row>
    <row r="16">
      <c r="A16" s="47">
        <v>46086.44195328704</v>
      </c>
      <c r="B16" s="12" t="s">
        <v>579</v>
      </c>
      <c r="C16" s="12" t="s">
        <v>627</v>
      </c>
      <c r="D16" s="12" t="s">
        <v>660</v>
      </c>
      <c r="E16" s="48" t="s">
        <v>583</v>
      </c>
      <c r="F16" s="48"/>
    </row>
    <row r="17">
      <c r="A17" s="47">
        <v>46086.44195328704</v>
      </c>
      <c r="B17" s="12" t="s">
        <v>564</v>
      </c>
      <c r="C17" s="12" t="s">
        <v>629</v>
      </c>
      <c r="D17" s="12" t="s">
        <v>660</v>
      </c>
      <c r="E17" s="48" t="s">
        <v>566</v>
      </c>
      <c r="F17" s="48"/>
    </row>
    <row r="18">
      <c r="A18" s="47">
        <v>46086.44195328704</v>
      </c>
      <c r="B18" s="12" t="s">
        <v>564</v>
      </c>
      <c r="C18" s="12" t="s">
        <v>620</v>
      </c>
      <c r="D18" s="12" t="s">
        <v>661</v>
      </c>
      <c r="E18" s="48" t="s">
        <v>565</v>
      </c>
      <c r="F18" s="48"/>
    </row>
    <row r="19">
      <c r="A19" s="47">
        <v>46086.44195328704</v>
      </c>
      <c r="B19" s="12" t="s">
        <v>584</v>
      </c>
      <c r="C19" s="12" t="s">
        <v>622</v>
      </c>
      <c r="D19" s="12" t="s">
        <v>661</v>
      </c>
      <c r="E19" s="48" t="s">
        <v>585</v>
      </c>
      <c r="F19" s="48"/>
    </row>
    <row r="20">
      <c r="A20" s="47">
        <v>46086.44195328704</v>
      </c>
      <c r="B20" s="12" t="s">
        <v>584</v>
      </c>
      <c r="C20" s="12" t="s">
        <v>634</v>
      </c>
      <c r="D20" s="12" t="s">
        <v>660</v>
      </c>
      <c r="E20" s="48" t="s">
        <v>586</v>
      </c>
      <c r="F20" s="48"/>
    </row>
    <row r="21">
      <c r="A21" s="47">
        <v>46086.44195328704</v>
      </c>
      <c r="B21" s="12" t="s">
        <v>584</v>
      </c>
      <c r="C21" s="12" t="s">
        <v>641</v>
      </c>
      <c r="D21" s="12" t="s">
        <v>660</v>
      </c>
      <c r="E21" s="48" t="s">
        <v>588</v>
      </c>
      <c r="F21" s="48"/>
    </row>
    <row r="22">
      <c r="A22" s="47">
        <v>46086.44195328704</v>
      </c>
      <c r="B22" s="12" t="s">
        <v>584</v>
      </c>
      <c r="C22" s="12" t="s">
        <v>640</v>
      </c>
      <c r="D22" s="12" t="s">
        <v>660</v>
      </c>
      <c r="E22" s="48" t="s">
        <v>587</v>
      </c>
      <c r="F22" s="48"/>
    </row>
    <row r="23">
      <c r="A23" s="47">
        <v>46086.44195328704</v>
      </c>
      <c r="B23" s="12" t="s">
        <v>571</v>
      </c>
      <c r="C23" s="12" t="s">
        <v>638</v>
      </c>
      <c r="D23" s="12" t="s">
        <v>660</v>
      </c>
      <c r="E23" s="48" t="s">
        <v>574</v>
      </c>
      <c r="F23" s="48"/>
    </row>
    <row r="24">
      <c r="A24" s="47">
        <v>46086.44195328704</v>
      </c>
      <c r="B24" s="12" t="s">
        <v>571</v>
      </c>
      <c r="C24" s="12" t="s">
        <v>634</v>
      </c>
      <c r="D24" s="12" t="s">
        <v>660</v>
      </c>
      <c r="E24" s="48" t="s">
        <v>578</v>
      </c>
      <c r="F24" s="48"/>
    </row>
    <row r="25">
      <c r="A25" s="47">
        <v>46086.44195328704</v>
      </c>
      <c r="B25" s="12" t="s">
        <v>571</v>
      </c>
      <c r="C25" s="12" t="s">
        <v>624</v>
      </c>
      <c r="D25" s="12" t="s">
        <v>660</v>
      </c>
      <c r="E25" s="48" t="s">
        <v>577</v>
      </c>
      <c r="F25" s="48"/>
    </row>
    <row r="26">
      <c r="A26" s="47">
        <v>46086.44195328704</v>
      </c>
      <c r="B26" s="12" t="s">
        <v>571</v>
      </c>
      <c r="C26" s="12" t="s">
        <v>632</v>
      </c>
      <c r="D26" s="12" t="s">
        <v>660</v>
      </c>
      <c r="E26" s="48" t="s">
        <v>576</v>
      </c>
      <c r="F26" s="48"/>
    </row>
    <row r="27">
      <c r="A27" s="47">
        <v>46086.44195328704</v>
      </c>
      <c r="B27" s="12" t="s">
        <v>571</v>
      </c>
      <c r="C27" s="12" t="s">
        <v>645</v>
      </c>
      <c r="D27" s="12" t="s">
        <v>660</v>
      </c>
      <c r="E27" s="48" t="s">
        <v>575</v>
      </c>
      <c r="F27" s="48"/>
    </row>
    <row r="28">
      <c r="A28" s="47">
        <v>46086.44195328704</v>
      </c>
      <c r="B28" s="12" t="s">
        <v>571</v>
      </c>
      <c r="C28" s="12" t="s">
        <v>623</v>
      </c>
      <c r="D28" s="12" t="s">
        <v>660</v>
      </c>
      <c r="E28" s="48" t="s">
        <v>573</v>
      </c>
      <c r="F28" s="48"/>
    </row>
    <row r="29">
      <c r="A29" s="47">
        <v>46086.44195328704</v>
      </c>
      <c r="B29" s="12" t="s">
        <v>571</v>
      </c>
      <c r="C29" s="12" t="s">
        <v>620</v>
      </c>
      <c r="D29" s="12" t="s">
        <v>661</v>
      </c>
      <c r="E29" s="48" t="s">
        <v>572</v>
      </c>
      <c r="F29" s="48"/>
    </row>
    <row r="30">
      <c r="A30" s="47">
        <v>46086.44195328704</v>
      </c>
      <c r="B30" s="12" t="s">
        <v>648</v>
      </c>
      <c r="C30" s="12" t="s">
        <v>622</v>
      </c>
      <c r="D30" s="12" t="s">
        <v>661</v>
      </c>
      <c r="E30" s="48" t="s">
        <v>590</v>
      </c>
      <c r="F30" s="48"/>
    </row>
    <row r="31">
      <c r="A31" s="47">
        <v>46086.44195328704</v>
      </c>
      <c r="B31" s="12" t="s">
        <v>648</v>
      </c>
      <c r="C31" s="12" t="s">
        <v>632</v>
      </c>
      <c r="D31" s="12" t="s">
        <v>660</v>
      </c>
      <c r="E31" s="48" t="s">
        <v>594</v>
      </c>
      <c r="F31" s="48"/>
    </row>
    <row r="32">
      <c r="A32" s="47">
        <v>46086.44195328704</v>
      </c>
      <c r="B32" s="12" t="s">
        <v>648</v>
      </c>
      <c r="C32" s="12" t="s">
        <v>641</v>
      </c>
      <c r="D32" s="12" t="s">
        <v>660</v>
      </c>
      <c r="E32" s="48" t="s">
        <v>592</v>
      </c>
      <c r="F32" s="48"/>
    </row>
    <row r="33">
      <c r="A33" s="47">
        <v>46086.44195328704</v>
      </c>
      <c r="B33" s="12" t="s">
        <v>648</v>
      </c>
      <c r="C33" s="12" t="s">
        <v>625</v>
      </c>
      <c r="D33" s="12" t="s">
        <v>660</v>
      </c>
      <c r="E33" s="48" t="s">
        <v>593</v>
      </c>
      <c r="F33" s="48"/>
    </row>
    <row r="34">
      <c r="A34" s="47">
        <v>46086.44195328704</v>
      </c>
      <c r="B34" s="12" t="s">
        <v>648</v>
      </c>
      <c r="C34" s="12" t="s">
        <v>633</v>
      </c>
      <c r="D34" s="12" t="s">
        <v>660</v>
      </c>
      <c r="E34" s="48" t="s">
        <v>596</v>
      </c>
      <c r="F34" s="48"/>
    </row>
    <row r="35">
      <c r="A35" s="47">
        <v>46086.44195328704</v>
      </c>
      <c r="B35" s="12" t="s">
        <v>648</v>
      </c>
      <c r="C35" s="12" t="s">
        <v>627</v>
      </c>
      <c r="D35" s="12" t="s">
        <v>660</v>
      </c>
      <c r="E35" s="48" t="s">
        <v>595</v>
      </c>
      <c r="F35" s="48"/>
    </row>
    <row r="36">
      <c r="A36" s="47">
        <v>46086.44195328704</v>
      </c>
      <c r="B36" s="12" t="s">
        <v>648</v>
      </c>
      <c r="C36" s="12" t="s">
        <v>635</v>
      </c>
      <c r="D36" s="12" t="s">
        <v>660</v>
      </c>
      <c r="E36" s="48" t="s">
        <v>591</v>
      </c>
      <c r="F36" s="48"/>
    </row>
    <row r="37">
      <c r="A37" s="47">
        <v>46086.44195328704</v>
      </c>
      <c r="B37" s="12" t="s">
        <v>597</v>
      </c>
      <c r="C37" s="12" t="s">
        <v>642</v>
      </c>
      <c r="D37" s="12" t="s">
        <v>660</v>
      </c>
      <c r="E37" s="48" t="s">
        <v>600</v>
      </c>
      <c r="F37" s="48"/>
    </row>
    <row r="38">
      <c r="A38" s="47">
        <v>46086.44195328704</v>
      </c>
      <c r="B38" s="12" t="s">
        <v>597</v>
      </c>
      <c r="C38" s="12" t="s">
        <v>626</v>
      </c>
      <c r="D38" s="12" t="s">
        <v>661</v>
      </c>
      <c r="E38" s="48" t="s">
        <v>598</v>
      </c>
      <c r="F38" s="48"/>
    </row>
    <row r="39">
      <c r="A39" s="47">
        <v>46086.44195328704</v>
      </c>
      <c r="B39" s="12" t="s">
        <v>597</v>
      </c>
      <c r="C39" s="12" t="s">
        <v>636</v>
      </c>
      <c r="D39" s="12" t="s">
        <v>660</v>
      </c>
      <c r="E39" s="48" t="s">
        <v>599</v>
      </c>
      <c r="F39" s="48"/>
    </row>
    <row r="40">
      <c r="A40" s="47"/>
      <c r="B40" s="12"/>
      <c r="C40" s="12"/>
      <c r="D40" s="12"/>
      <c r="E40" s="12"/>
      <c r="F40" s="48"/>
    </row>
    <row r="41">
      <c r="A41" s="47"/>
      <c r="B41" s="12"/>
      <c r="C41" s="12"/>
      <c r="D41" s="12"/>
      <c r="E41" s="12"/>
      <c r="F41" s="48"/>
    </row>
    <row r="42">
      <c r="A42" s="47"/>
      <c r="B42" s="12"/>
      <c r="C42" s="12"/>
      <c r="D42" s="12"/>
      <c r="E42" s="12"/>
      <c r="F42" s="48"/>
    </row>
    <row r="43">
      <c r="A43" s="47"/>
      <c r="B43" s="12"/>
      <c r="C43" s="12"/>
      <c r="D43" s="12"/>
      <c r="E43" s="12"/>
      <c r="F43" s="48"/>
    </row>
    <row r="44">
      <c r="A44" s="47"/>
      <c r="B44" s="12"/>
      <c r="C44" s="12"/>
      <c r="D44" s="12"/>
      <c r="E44" s="12"/>
      <c r="F44" s="48"/>
    </row>
    <row r="45">
      <c r="A45" s="47"/>
      <c r="B45" s="12"/>
      <c r="C45" s="12"/>
      <c r="D45" s="12"/>
      <c r="E45" s="12"/>
      <c r="F45" s="48"/>
    </row>
    <row r="46">
      <c r="A46" s="47"/>
      <c r="B46" s="12"/>
      <c r="C46" s="12"/>
      <c r="D46" s="12"/>
      <c r="E46" s="48"/>
      <c r="F46" s="48"/>
    </row>
    <row r="47">
      <c r="A47" s="47"/>
      <c r="B47" s="12"/>
      <c r="C47" s="12"/>
      <c r="D47" s="12"/>
      <c r="E47" s="48"/>
      <c r="F47" s="48"/>
    </row>
    <row r="48">
      <c r="A48" s="47"/>
      <c r="B48" s="12"/>
      <c r="C48" s="12"/>
      <c r="D48" s="12"/>
      <c r="E48" s="48"/>
      <c r="F48" s="48"/>
    </row>
    <row r="49">
      <c r="A49" s="47"/>
      <c r="B49" s="12"/>
      <c r="C49" s="12"/>
      <c r="D49" s="12"/>
      <c r="E49" s="48"/>
      <c r="F49" s="48"/>
    </row>
    <row r="50">
      <c r="A50" s="47"/>
      <c r="B50" s="12"/>
      <c r="C50" s="12"/>
      <c r="D50" s="12"/>
      <c r="E50" s="48"/>
      <c r="F50" s="48"/>
    </row>
    <row r="51">
      <c r="A51" s="47"/>
      <c r="B51" s="12"/>
      <c r="C51" s="12"/>
      <c r="D51" s="12"/>
      <c r="E51" s="48"/>
      <c r="F51" s="48"/>
    </row>
    <row r="52">
      <c r="A52" s="47"/>
      <c r="B52" s="12"/>
      <c r="C52" s="12"/>
      <c r="D52" s="12"/>
      <c r="E52" s="48"/>
      <c r="F52" s="48"/>
    </row>
    <row r="53">
      <c r="A53" s="47"/>
      <c r="B53" s="12"/>
      <c r="C53" s="12"/>
      <c r="D53" s="12"/>
      <c r="E53" s="48"/>
      <c r="F53" s="48"/>
    </row>
    <row r="54">
      <c r="A54" s="47"/>
      <c r="B54" s="12"/>
      <c r="C54" s="12"/>
      <c r="D54" s="12"/>
      <c r="E54" s="48"/>
      <c r="F54" s="48"/>
    </row>
    <row r="55">
      <c r="A55" s="47"/>
      <c r="B55" s="12"/>
      <c r="C55" s="12"/>
      <c r="D55" s="12"/>
      <c r="E55" s="48"/>
      <c r="F55" s="48"/>
    </row>
    <row r="56">
      <c r="A56" s="47"/>
      <c r="B56" s="12"/>
      <c r="C56" s="12"/>
      <c r="D56" s="12"/>
      <c r="E56" s="48"/>
      <c r="F56" s="48"/>
    </row>
    <row r="57">
      <c r="A57" s="47"/>
      <c r="B57" s="12"/>
      <c r="C57" s="12"/>
      <c r="D57" s="12"/>
      <c r="E57" s="12"/>
      <c r="F57" s="48"/>
    </row>
    <row r="58">
      <c r="A58" s="47"/>
      <c r="B58" s="12"/>
      <c r="C58" s="12"/>
      <c r="D58" s="12"/>
      <c r="E58" s="12"/>
      <c r="F58" s="48"/>
    </row>
    <row r="59">
      <c r="A59" s="47"/>
      <c r="B59" s="12"/>
      <c r="C59" s="12"/>
      <c r="D59" s="12"/>
      <c r="E59" s="12"/>
      <c r="F59" s="48"/>
    </row>
    <row r="60">
      <c r="A60" s="47"/>
      <c r="B60" s="12"/>
      <c r="C60" s="12"/>
      <c r="D60" s="12"/>
      <c r="E60" s="12"/>
      <c r="F60" s="48"/>
    </row>
    <row r="61">
      <c r="A61" s="47"/>
      <c r="B61" s="12"/>
      <c r="C61" s="12"/>
      <c r="D61" s="12"/>
      <c r="E61" s="12"/>
      <c r="F61" s="48"/>
    </row>
    <row r="62">
      <c r="A62" s="47"/>
      <c r="B62" s="12"/>
      <c r="C62" s="12"/>
      <c r="D62" s="12"/>
      <c r="E62" s="12"/>
      <c r="F62" s="48"/>
    </row>
    <row r="63">
      <c r="A63" s="47"/>
      <c r="B63" s="12"/>
      <c r="C63" s="12"/>
      <c r="D63" s="12"/>
      <c r="E63" s="12"/>
      <c r="F63" s="48"/>
    </row>
    <row r="64">
      <c r="A64" s="47"/>
      <c r="B64" s="12"/>
      <c r="C64" s="12"/>
      <c r="D64" s="12"/>
      <c r="E64" s="12"/>
      <c r="F64" s="48"/>
    </row>
    <row r="65">
      <c r="A65" s="47"/>
      <c r="B65" s="12"/>
      <c r="C65" s="12"/>
      <c r="D65" s="12"/>
      <c r="E65" s="12"/>
      <c r="F65" s="48"/>
    </row>
    <row r="66">
      <c r="A66" s="47"/>
      <c r="B66" s="12"/>
      <c r="C66" s="12"/>
      <c r="D66" s="12"/>
      <c r="E66" s="12"/>
      <c r="F66" s="48"/>
    </row>
    <row r="67">
      <c r="A67" s="47"/>
      <c r="B67" s="12"/>
      <c r="C67" s="12"/>
      <c r="D67" s="12"/>
      <c r="E67" s="12"/>
      <c r="F67" s="48"/>
    </row>
    <row r="68">
      <c r="A68" s="47"/>
      <c r="B68" s="12"/>
      <c r="C68" s="12"/>
      <c r="D68" s="12"/>
      <c r="E68" s="12"/>
      <c r="F68" s="48"/>
    </row>
    <row r="69">
      <c r="A69" s="47"/>
      <c r="B69" s="12"/>
      <c r="C69" s="12"/>
      <c r="D69" s="12"/>
      <c r="E69" s="12"/>
      <c r="F69" s="48"/>
    </row>
    <row r="70">
      <c r="A70" s="47"/>
      <c r="B70" s="12"/>
      <c r="C70" s="12"/>
      <c r="D70" s="12"/>
      <c r="E70" s="12"/>
      <c r="F70" s="48"/>
    </row>
    <row r="71">
      <c r="A71" s="47"/>
      <c r="B71" s="12"/>
      <c r="C71" s="12"/>
      <c r="D71" s="12"/>
      <c r="E71" s="12"/>
      <c r="F71" s="48"/>
    </row>
    <row r="72">
      <c r="A72" s="47"/>
      <c r="B72" s="12"/>
      <c r="C72" s="12"/>
      <c r="D72" s="12"/>
      <c r="E72" s="12"/>
      <c r="F72" s="48"/>
    </row>
    <row r="73">
      <c r="A73" s="47"/>
      <c r="B73" s="12"/>
      <c r="C73" s="12"/>
      <c r="D73" s="12"/>
      <c r="E73" s="12"/>
      <c r="F73" s="48"/>
    </row>
    <row r="74">
      <c r="A74" s="47"/>
      <c r="B74" s="12"/>
      <c r="C74" s="12"/>
      <c r="D74" s="12"/>
      <c r="E74" s="12"/>
      <c r="F74" s="48"/>
    </row>
    <row r="75">
      <c r="A75" s="47"/>
      <c r="B75" s="12"/>
      <c r="C75" s="12"/>
      <c r="D75" s="12"/>
      <c r="E75" s="12"/>
      <c r="F75" s="48"/>
    </row>
    <row r="76">
      <c r="A76" s="47"/>
      <c r="B76" s="12"/>
      <c r="C76" s="12"/>
      <c r="D76" s="12"/>
      <c r="E76" s="12"/>
      <c r="F76" s="48"/>
    </row>
    <row r="77">
      <c r="A77" s="47"/>
      <c r="B77" s="12"/>
      <c r="C77" s="12"/>
      <c r="D77" s="12"/>
      <c r="E77" s="12"/>
      <c r="F77" s="48"/>
    </row>
    <row r="78">
      <c r="A78" s="47"/>
      <c r="B78" s="12"/>
      <c r="C78" s="12"/>
      <c r="D78" s="12"/>
      <c r="E78" s="12"/>
      <c r="F78" s="48"/>
    </row>
    <row r="79">
      <c r="A79" s="47"/>
      <c r="B79" s="12"/>
      <c r="C79" s="12"/>
      <c r="D79" s="12"/>
      <c r="E79" s="12"/>
      <c r="F79" s="48"/>
    </row>
    <row r="80">
      <c r="A80" s="47"/>
      <c r="B80" s="12"/>
      <c r="C80" s="12"/>
      <c r="D80" s="12"/>
      <c r="E80" s="12"/>
      <c r="F80" s="48"/>
    </row>
    <row r="81">
      <c r="A81" s="47"/>
      <c r="B81" s="12"/>
      <c r="C81" s="12"/>
      <c r="D81" s="12"/>
      <c r="E81" s="12"/>
      <c r="F81" s="48"/>
    </row>
    <row r="82">
      <c r="A82" s="47"/>
      <c r="B82" s="12"/>
      <c r="C82" s="12"/>
      <c r="D82" s="12"/>
      <c r="E82" s="12"/>
      <c r="F82" s="48"/>
    </row>
    <row r="83">
      <c r="A83" s="47"/>
      <c r="B83" s="12"/>
      <c r="C83" s="12"/>
      <c r="D83" s="12"/>
      <c r="E83" s="12"/>
      <c r="F83" s="48"/>
    </row>
    <row r="84">
      <c r="A84" s="47"/>
      <c r="B84" s="12"/>
      <c r="C84" s="12"/>
      <c r="D84" s="12"/>
      <c r="E84" s="12"/>
      <c r="F84" s="48"/>
    </row>
    <row r="85">
      <c r="A85" s="47"/>
      <c r="B85" s="12"/>
      <c r="C85" s="12"/>
      <c r="D85" s="12"/>
      <c r="E85" s="12"/>
      <c r="F85" s="48"/>
    </row>
    <row r="86">
      <c r="A86" s="47"/>
      <c r="B86" s="12"/>
      <c r="C86" s="12"/>
      <c r="D86" s="12"/>
      <c r="E86" s="12"/>
      <c r="F86" s="48"/>
    </row>
    <row r="87">
      <c r="A87" s="47"/>
      <c r="B87" s="12"/>
      <c r="C87" s="12"/>
      <c r="D87" s="12"/>
      <c r="E87" s="12"/>
      <c r="F87" s="48"/>
    </row>
    <row r="88">
      <c r="A88" s="47"/>
      <c r="B88" s="12"/>
      <c r="C88" s="12"/>
      <c r="D88" s="12"/>
      <c r="E88" s="12"/>
      <c r="F88" s="48"/>
    </row>
    <row r="89">
      <c r="A89" s="47"/>
      <c r="B89" s="12"/>
      <c r="C89" s="12"/>
      <c r="D89" s="12"/>
      <c r="E89" s="12"/>
      <c r="F89" s="48"/>
    </row>
    <row r="90">
      <c r="A90" s="47"/>
      <c r="B90" s="12"/>
      <c r="C90" s="12"/>
      <c r="D90" s="12"/>
      <c r="E90" s="12"/>
      <c r="F90" s="48"/>
    </row>
    <row r="91">
      <c r="A91" s="47"/>
      <c r="B91" s="12"/>
      <c r="C91" s="12"/>
      <c r="D91" s="12"/>
      <c r="E91" s="12"/>
      <c r="F91" s="48"/>
    </row>
    <row r="92">
      <c r="A92" s="47"/>
      <c r="B92" s="12"/>
      <c r="C92" s="12"/>
      <c r="D92" s="12"/>
      <c r="E92" s="12"/>
      <c r="F92" s="48"/>
    </row>
    <row r="93">
      <c r="A93" s="47"/>
      <c r="B93" s="12"/>
      <c r="C93" s="12"/>
      <c r="D93" s="12"/>
      <c r="E93" s="12"/>
      <c r="F93" s="48"/>
    </row>
    <row r="94">
      <c r="A94" s="47"/>
      <c r="B94" s="12"/>
      <c r="C94" s="12"/>
      <c r="D94" s="12"/>
      <c r="E94" s="12"/>
      <c r="F94" s="48"/>
    </row>
    <row r="95">
      <c r="A95" s="47"/>
      <c r="B95" s="12"/>
      <c r="C95" s="12"/>
      <c r="D95" s="12"/>
      <c r="E95" s="12"/>
      <c r="F95" s="48"/>
    </row>
    <row r="96">
      <c r="A96" s="47"/>
      <c r="B96" s="12"/>
      <c r="C96" s="12"/>
      <c r="D96" s="12"/>
      <c r="E96" s="12"/>
      <c r="F96" s="48"/>
    </row>
    <row r="97">
      <c r="A97" s="47"/>
      <c r="B97" s="12"/>
      <c r="C97" s="12"/>
      <c r="D97" s="12"/>
      <c r="E97" s="12"/>
      <c r="F97" s="48"/>
    </row>
    <row r="98">
      <c r="A98" s="47"/>
      <c r="B98" s="12"/>
      <c r="C98" s="12"/>
      <c r="D98" s="12"/>
      <c r="E98" s="12"/>
      <c r="F98" s="48"/>
    </row>
    <row r="99">
      <c r="A99" s="47"/>
      <c r="B99" s="12"/>
      <c r="C99" s="12"/>
      <c r="D99" s="12"/>
      <c r="E99" s="12"/>
      <c r="F99" s="48"/>
    </row>
    <row r="100">
      <c r="A100" s="47"/>
      <c r="B100" s="12"/>
      <c r="C100" s="12"/>
      <c r="D100" s="12"/>
      <c r="E100" s="12"/>
      <c r="F100" s="48"/>
    </row>
    <row r="101">
      <c r="A101" s="47"/>
      <c r="B101" s="12"/>
      <c r="C101" s="12"/>
      <c r="D101" s="12"/>
      <c r="E101" s="12"/>
      <c r="F101" s="48"/>
    </row>
    <row r="102">
      <c r="A102" s="47"/>
      <c r="B102" s="12"/>
      <c r="C102" s="12"/>
      <c r="D102" s="12"/>
      <c r="E102" s="12"/>
      <c r="F102" s="48"/>
    </row>
    <row r="103">
      <c r="A103" s="47"/>
      <c r="B103" s="12"/>
      <c r="C103" s="12"/>
      <c r="D103" s="12"/>
      <c r="E103" s="12"/>
      <c r="F103" s="48"/>
    </row>
    <row r="104">
      <c r="A104" s="47"/>
      <c r="B104" s="12"/>
      <c r="C104" s="12"/>
      <c r="D104" s="12"/>
      <c r="E104" s="12"/>
      <c r="F104" s="48"/>
    </row>
    <row r="105">
      <c r="A105" s="47"/>
      <c r="B105" s="12"/>
      <c r="C105" s="12"/>
      <c r="D105" s="12"/>
      <c r="E105" s="12"/>
      <c r="F105" s="48"/>
    </row>
    <row r="106">
      <c r="A106" s="47"/>
      <c r="B106" s="12"/>
      <c r="C106" s="12"/>
      <c r="D106" s="12"/>
      <c r="E106" s="12"/>
      <c r="F106" s="48"/>
    </row>
    <row r="107">
      <c r="A107" s="47"/>
      <c r="B107" s="12"/>
      <c r="C107" s="12"/>
      <c r="D107" s="12"/>
      <c r="E107" s="12"/>
      <c r="F107" s="48"/>
    </row>
    <row r="108">
      <c r="A108" s="47"/>
      <c r="B108" s="12"/>
      <c r="C108" s="12"/>
      <c r="D108" s="12"/>
      <c r="E108" s="12"/>
      <c r="F108" s="48"/>
    </row>
    <row r="109">
      <c r="A109" s="47"/>
      <c r="B109" s="12"/>
      <c r="C109" s="12"/>
      <c r="D109" s="12"/>
      <c r="E109" s="12"/>
      <c r="F109" s="48"/>
    </row>
    <row r="110">
      <c r="A110" s="47"/>
      <c r="B110" s="12"/>
      <c r="C110" s="12"/>
      <c r="D110" s="12"/>
      <c r="E110" s="12"/>
      <c r="F110" s="48"/>
    </row>
    <row r="111">
      <c r="A111" s="47"/>
      <c r="B111" s="12"/>
      <c r="C111" s="12"/>
      <c r="D111" s="12"/>
      <c r="E111" s="12"/>
      <c r="F111" s="48"/>
    </row>
    <row r="112">
      <c r="A112" s="47"/>
      <c r="B112" s="12"/>
      <c r="C112" s="12"/>
      <c r="D112" s="12"/>
      <c r="E112" s="12"/>
      <c r="F112" s="48"/>
    </row>
    <row r="113">
      <c r="A113" s="47"/>
      <c r="B113" s="12"/>
      <c r="C113" s="12"/>
      <c r="D113" s="12"/>
      <c r="E113" s="12"/>
      <c r="F113" s="48"/>
    </row>
    <row r="114">
      <c r="A114" s="47"/>
      <c r="B114" s="12"/>
      <c r="C114" s="12"/>
      <c r="D114" s="12"/>
      <c r="E114" s="12"/>
      <c r="F114" s="48"/>
    </row>
    <row r="115">
      <c r="A115" s="47"/>
      <c r="B115" s="12"/>
      <c r="C115" s="12"/>
      <c r="D115" s="12"/>
      <c r="E115" s="12"/>
      <c r="F115" s="48"/>
    </row>
    <row r="116">
      <c r="A116" s="47"/>
      <c r="B116" s="12"/>
      <c r="C116" s="12"/>
      <c r="D116" s="12"/>
      <c r="E116" s="12"/>
      <c r="F116" s="48"/>
    </row>
    <row r="117">
      <c r="A117" s="47"/>
      <c r="B117" s="12"/>
      <c r="C117" s="12"/>
      <c r="D117" s="12"/>
      <c r="E117" s="12"/>
      <c r="F117" s="48"/>
    </row>
    <row r="118">
      <c r="A118" s="47"/>
      <c r="B118" s="12"/>
      <c r="C118" s="12"/>
      <c r="D118" s="12"/>
      <c r="E118" s="12"/>
      <c r="F118" s="48"/>
    </row>
    <row r="119">
      <c r="A119" s="47"/>
      <c r="B119" s="12"/>
      <c r="C119" s="12"/>
      <c r="D119" s="12"/>
      <c r="E119" s="12"/>
      <c r="F119" s="48"/>
    </row>
    <row r="120">
      <c r="A120" s="47"/>
      <c r="B120" s="12"/>
      <c r="C120" s="12"/>
      <c r="D120" s="12"/>
      <c r="E120" s="12"/>
      <c r="F120" s="48"/>
    </row>
    <row r="121">
      <c r="A121" s="47"/>
      <c r="B121" s="12"/>
      <c r="C121" s="12"/>
      <c r="D121" s="12"/>
      <c r="E121" s="12"/>
      <c r="F121" s="48"/>
    </row>
    <row r="122">
      <c r="A122" s="47"/>
      <c r="B122" s="12"/>
      <c r="C122" s="12"/>
      <c r="D122" s="12"/>
      <c r="E122" s="12"/>
      <c r="F122" s="48"/>
    </row>
    <row r="123">
      <c r="A123" s="47"/>
      <c r="B123" s="12"/>
      <c r="C123" s="12"/>
      <c r="D123" s="12"/>
      <c r="E123" s="12"/>
      <c r="F123" s="48"/>
    </row>
    <row r="124">
      <c r="A124" s="47"/>
      <c r="B124" s="12"/>
      <c r="C124" s="12"/>
      <c r="D124" s="12"/>
      <c r="E124" s="12"/>
      <c r="F124" s="48"/>
    </row>
    <row r="125">
      <c r="A125" s="47"/>
      <c r="B125" s="12"/>
      <c r="C125" s="12"/>
      <c r="D125" s="12"/>
      <c r="E125" s="12"/>
      <c r="F125" s="48"/>
    </row>
    <row r="126">
      <c r="A126" s="47"/>
      <c r="B126" s="12"/>
      <c r="C126" s="12"/>
      <c r="D126" s="12"/>
      <c r="E126" s="12"/>
      <c r="F126" s="48"/>
    </row>
    <row r="127">
      <c r="A127" s="47"/>
      <c r="B127" s="12"/>
      <c r="C127" s="12"/>
      <c r="D127" s="12"/>
      <c r="E127" s="12"/>
      <c r="F127" s="48"/>
    </row>
    <row r="128">
      <c r="A128" s="47"/>
      <c r="B128" s="12"/>
      <c r="C128" s="12"/>
      <c r="D128" s="12"/>
      <c r="E128" s="12"/>
      <c r="F128" s="48"/>
    </row>
    <row r="129">
      <c r="A129" s="47"/>
      <c r="B129" s="12"/>
      <c r="C129" s="12"/>
      <c r="D129" s="12"/>
      <c r="E129" s="12"/>
      <c r="F129" s="48"/>
    </row>
    <row r="130">
      <c r="A130" s="47"/>
      <c r="B130" s="12"/>
      <c r="C130" s="12"/>
      <c r="D130" s="12"/>
      <c r="E130" s="12"/>
      <c r="F130" s="48"/>
    </row>
    <row r="131">
      <c r="A131" s="47"/>
      <c r="B131" s="12"/>
      <c r="C131" s="12"/>
      <c r="D131" s="12"/>
      <c r="E131" s="12"/>
      <c r="F131" s="48"/>
    </row>
    <row r="132">
      <c r="A132" s="47"/>
      <c r="B132" s="12"/>
      <c r="C132" s="12"/>
      <c r="D132" s="12"/>
      <c r="E132" s="12"/>
      <c r="F132" s="48"/>
    </row>
    <row r="133">
      <c r="A133" s="47"/>
      <c r="B133" s="12"/>
      <c r="C133" s="12"/>
      <c r="D133" s="12"/>
      <c r="E133" s="12"/>
      <c r="F133" s="48"/>
    </row>
    <row r="134">
      <c r="A134" s="47"/>
      <c r="B134" s="12"/>
      <c r="C134" s="12"/>
      <c r="D134" s="12"/>
      <c r="E134" s="12"/>
      <c r="F134" s="48"/>
    </row>
    <row r="135">
      <c r="A135" s="47"/>
      <c r="B135" s="12"/>
      <c r="C135" s="12"/>
      <c r="D135" s="12"/>
      <c r="E135" s="12"/>
      <c r="F135" s="48"/>
    </row>
    <row r="136">
      <c r="A136" s="47"/>
      <c r="B136" s="12"/>
      <c r="C136" s="12"/>
      <c r="D136" s="12"/>
      <c r="E136" s="12"/>
      <c r="F136" s="48"/>
    </row>
    <row r="137">
      <c r="A137" s="47"/>
      <c r="B137" s="12"/>
      <c r="C137" s="12"/>
      <c r="D137" s="12"/>
      <c r="E137" s="12"/>
      <c r="F137" s="48"/>
    </row>
    <row r="138">
      <c r="A138" s="47"/>
      <c r="B138" s="12"/>
      <c r="C138" s="12"/>
      <c r="D138" s="12"/>
      <c r="E138" s="12"/>
      <c r="F138" s="48"/>
    </row>
    <row r="139">
      <c r="A139" s="47"/>
      <c r="B139" s="12"/>
      <c r="C139" s="12"/>
      <c r="D139" s="12"/>
      <c r="E139" s="12"/>
      <c r="F139" s="48"/>
    </row>
    <row r="140">
      <c r="A140" s="47"/>
      <c r="B140" s="12"/>
      <c r="C140" s="12"/>
      <c r="D140" s="12"/>
      <c r="E140" s="12"/>
      <c r="F140" s="48"/>
    </row>
    <row r="141">
      <c r="A141" s="47"/>
      <c r="B141" s="12"/>
      <c r="C141" s="12"/>
      <c r="D141" s="12"/>
      <c r="E141" s="12"/>
      <c r="F141" s="48"/>
    </row>
    <row r="142">
      <c r="A142" s="47"/>
      <c r="B142" s="12"/>
      <c r="C142" s="12"/>
      <c r="D142" s="12"/>
      <c r="E142" s="12"/>
      <c r="F142" s="48"/>
    </row>
    <row r="143">
      <c r="A143" s="47"/>
      <c r="B143" s="12"/>
      <c r="C143" s="12"/>
      <c r="D143" s="12"/>
      <c r="E143" s="12"/>
      <c r="F143" s="48"/>
    </row>
    <row r="144">
      <c r="A144" s="47"/>
      <c r="B144" s="12"/>
      <c r="C144" s="12"/>
      <c r="D144" s="12"/>
      <c r="E144" s="12"/>
      <c r="F144" s="48"/>
    </row>
    <row r="145">
      <c r="A145" s="47"/>
      <c r="B145" s="12"/>
      <c r="C145" s="12"/>
      <c r="D145" s="12"/>
      <c r="E145" s="12"/>
      <c r="F145" s="48"/>
    </row>
    <row r="146">
      <c r="A146" s="47"/>
      <c r="B146" s="12"/>
      <c r="C146" s="12"/>
      <c r="D146" s="12"/>
      <c r="E146" s="12"/>
      <c r="F146" s="48"/>
    </row>
    <row r="147">
      <c r="A147" s="47"/>
      <c r="B147" s="12"/>
      <c r="C147" s="12"/>
      <c r="D147" s="12"/>
      <c r="E147" s="12"/>
      <c r="F147" s="48"/>
    </row>
    <row r="148">
      <c r="A148" s="47"/>
      <c r="B148" s="12"/>
      <c r="C148" s="12"/>
      <c r="D148" s="12"/>
      <c r="E148" s="12"/>
      <c r="F148" s="48"/>
    </row>
    <row r="149">
      <c r="A149" s="47"/>
      <c r="B149" s="12"/>
      <c r="C149" s="12"/>
      <c r="D149" s="12"/>
      <c r="E149" s="12"/>
      <c r="F149" s="48"/>
    </row>
    <row r="150">
      <c r="A150" s="47"/>
      <c r="B150" s="12"/>
      <c r="C150" s="12"/>
      <c r="D150" s="12"/>
      <c r="E150" s="12"/>
      <c r="F150" s="48"/>
    </row>
    <row r="151">
      <c r="A151" s="47"/>
      <c r="B151" s="12"/>
      <c r="C151" s="12"/>
      <c r="D151" s="12"/>
      <c r="E151" s="12"/>
      <c r="F151" s="48"/>
    </row>
    <row r="152">
      <c r="A152" s="47"/>
      <c r="B152" s="12"/>
      <c r="C152" s="12"/>
      <c r="D152" s="12"/>
      <c r="E152" s="12"/>
      <c r="F152" s="48"/>
    </row>
    <row r="153">
      <c r="A153" s="47"/>
      <c r="B153" s="12"/>
      <c r="C153" s="12"/>
      <c r="D153" s="12"/>
      <c r="E153" s="12"/>
      <c r="F153" s="48"/>
    </row>
    <row r="154">
      <c r="A154" s="47"/>
      <c r="B154" s="12"/>
      <c r="C154" s="12"/>
      <c r="D154" s="12"/>
      <c r="E154" s="12"/>
      <c r="F154" s="48"/>
    </row>
    <row r="155">
      <c r="A155" s="47"/>
      <c r="B155" s="12"/>
      <c r="C155" s="12"/>
      <c r="D155" s="12"/>
      <c r="E155" s="12"/>
      <c r="F155" s="48"/>
    </row>
    <row r="156">
      <c r="A156" s="47"/>
      <c r="B156" s="12"/>
      <c r="C156" s="12"/>
      <c r="D156" s="12"/>
      <c r="E156" s="12"/>
      <c r="F156" s="48"/>
    </row>
    <row r="157">
      <c r="A157" s="47"/>
      <c r="B157" s="12"/>
      <c r="C157" s="12"/>
      <c r="D157" s="12"/>
      <c r="E157" s="12"/>
      <c r="F157" s="48"/>
    </row>
    <row r="158">
      <c r="A158" s="47"/>
      <c r="B158" s="12"/>
      <c r="C158" s="12"/>
      <c r="D158" s="12"/>
      <c r="E158" s="12"/>
      <c r="F158" s="48"/>
    </row>
    <row r="159">
      <c r="A159" s="47"/>
      <c r="B159" s="12"/>
      <c r="C159" s="12"/>
      <c r="D159" s="12"/>
      <c r="E159" s="12"/>
      <c r="F159" s="48"/>
    </row>
    <row r="160">
      <c r="A160" s="47"/>
      <c r="B160" s="12"/>
      <c r="C160" s="12"/>
      <c r="D160" s="12"/>
      <c r="E160" s="12"/>
      <c r="F160" s="48"/>
    </row>
    <row r="161">
      <c r="A161" s="47"/>
      <c r="B161" s="12"/>
      <c r="C161" s="12"/>
      <c r="D161" s="12"/>
      <c r="E161" s="12"/>
      <c r="F161" s="48"/>
    </row>
    <row r="162">
      <c r="A162" s="47"/>
      <c r="B162" s="12"/>
      <c r="C162" s="12"/>
      <c r="D162" s="12"/>
      <c r="E162" s="12"/>
      <c r="F162" s="48"/>
    </row>
    <row r="163">
      <c r="A163" s="47"/>
      <c r="B163" s="12"/>
      <c r="C163" s="12"/>
      <c r="D163" s="12"/>
      <c r="E163" s="12"/>
      <c r="F163" s="48"/>
    </row>
    <row r="164">
      <c r="A164" s="47"/>
      <c r="B164" s="12"/>
      <c r="C164" s="12"/>
      <c r="D164" s="12"/>
      <c r="E164" s="12"/>
      <c r="F164" s="48"/>
    </row>
    <row r="165">
      <c r="A165" s="47"/>
      <c r="B165" s="12"/>
      <c r="C165" s="12"/>
      <c r="D165" s="12"/>
      <c r="E165" s="12"/>
      <c r="F165" s="48"/>
    </row>
    <row r="166">
      <c r="A166" s="47"/>
      <c r="B166" s="12"/>
      <c r="C166" s="12"/>
      <c r="D166" s="12"/>
      <c r="E166" s="12"/>
      <c r="F166" s="48"/>
    </row>
    <row r="167">
      <c r="A167" s="47"/>
      <c r="B167" s="12"/>
      <c r="C167" s="12"/>
      <c r="D167" s="12"/>
      <c r="E167" s="12"/>
      <c r="F167" s="48"/>
    </row>
    <row r="168">
      <c r="A168" s="47"/>
      <c r="B168" s="12"/>
      <c r="C168" s="12"/>
      <c r="D168" s="12"/>
      <c r="E168" s="12"/>
      <c r="F168" s="48"/>
    </row>
    <row r="169">
      <c r="A169" s="47"/>
      <c r="B169" s="12"/>
      <c r="C169" s="12"/>
      <c r="D169" s="12"/>
      <c r="E169" s="12"/>
      <c r="F169" s="48"/>
    </row>
    <row r="170">
      <c r="A170" s="47"/>
      <c r="B170" s="12"/>
      <c r="C170" s="12"/>
      <c r="D170" s="12"/>
      <c r="E170" s="12"/>
      <c r="F170" s="48"/>
    </row>
    <row r="171">
      <c r="A171" s="47"/>
      <c r="B171" s="12"/>
      <c r="C171" s="12"/>
      <c r="D171" s="12"/>
      <c r="E171" s="12"/>
      <c r="F171" s="48"/>
    </row>
    <row r="172">
      <c r="A172" s="47"/>
      <c r="B172" s="12"/>
      <c r="C172" s="12"/>
      <c r="D172" s="12"/>
      <c r="E172" s="12"/>
      <c r="F172" s="48"/>
    </row>
    <row r="173">
      <c r="A173" s="47"/>
      <c r="B173" s="12"/>
      <c r="C173" s="12"/>
      <c r="D173" s="12"/>
      <c r="E173" s="12"/>
      <c r="F173" s="48"/>
    </row>
    <row r="174">
      <c r="A174" s="47"/>
      <c r="B174" s="12"/>
      <c r="C174" s="12"/>
      <c r="D174" s="12"/>
      <c r="E174" s="12"/>
      <c r="F174" s="48"/>
    </row>
    <row r="175">
      <c r="A175" s="47"/>
      <c r="B175" s="12"/>
      <c r="C175" s="12"/>
      <c r="D175" s="12"/>
      <c r="E175" s="12"/>
      <c r="F175" s="48"/>
    </row>
    <row r="176">
      <c r="A176" s="47"/>
      <c r="B176" s="12"/>
      <c r="C176" s="12"/>
      <c r="D176" s="12"/>
      <c r="E176" s="12"/>
      <c r="F176" s="48"/>
    </row>
    <row r="177">
      <c r="A177" s="47"/>
      <c r="B177" s="12"/>
      <c r="C177" s="12"/>
      <c r="D177" s="12"/>
      <c r="E177" s="12"/>
      <c r="F177" s="48"/>
    </row>
    <row r="178">
      <c r="A178" s="47"/>
      <c r="B178" s="12"/>
      <c r="C178" s="12"/>
      <c r="D178" s="12"/>
      <c r="E178" s="12"/>
      <c r="F178" s="48"/>
    </row>
    <row r="179">
      <c r="A179" s="47"/>
      <c r="B179" s="12"/>
      <c r="C179" s="12"/>
      <c r="D179" s="12"/>
      <c r="E179" s="12"/>
      <c r="F179" s="48"/>
    </row>
    <row r="180">
      <c r="A180" s="47"/>
      <c r="B180" s="12"/>
      <c r="C180" s="12"/>
      <c r="D180" s="12"/>
      <c r="E180" s="12"/>
      <c r="F180" s="48"/>
    </row>
    <row r="181">
      <c r="A181" s="47"/>
      <c r="B181" s="12"/>
      <c r="C181" s="12"/>
      <c r="D181" s="12"/>
      <c r="E181" s="12"/>
      <c r="F181" s="48"/>
    </row>
    <row r="182">
      <c r="A182" s="47"/>
      <c r="B182" s="12"/>
      <c r="C182" s="12"/>
      <c r="D182" s="12"/>
      <c r="E182" s="12"/>
      <c r="F182" s="48"/>
    </row>
    <row r="183">
      <c r="A183" s="47"/>
      <c r="B183" s="12"/>
      <c r="C183" s="12"/>
      <c r="D183" s="12"/>
      <c r="E183" s="12"/>
      <c r="F183" s="48"/>
    </row>
    <row r="184">
      <c r="A184" s="47"/>
      <c r="B184" s="12"/>
      <c r="C184" s="12"/>
      <c r="D184" s="12"/>
      <c r="E184" s="12"/>
      <c r="F184" s="48"/>
    </row>
    <row r="185">
      <c r="A185" s="47"/>
      <c r="B185" s="12"/>
      <c r="C185" s="12"/>
      <c r="D185" s="12"/>
      <c r="E185" s="12"/>
      <c r="F185" s="48"/>
    </row>
    <row r="186">
      <c r="A186" s="47"/>
      <c r="B186" s="12"/>
      <c r="C186" s="12"/>
      <c r="D186" s="12"/>
      <c r="E186" s="12"/>
      <c r="F186" s="48"/>
    </row>
    <row r="187">
      <c r="A187" s="47"/>
      <c r="B187" s="12"/>
      <c r="C187" s="12"/>
      <c r="D187" s="12"/>
      <c r="E187" s="12"/>
      <c r="F187" s="48"/>
    </row>
    <row r="188">
      <c r="A188" s="47"/>
      <c r="B188" s="12"/>
      <c r="C188" s="12"/>
      <c r="D188" s="12"/>
      <c r="E188" s="12"/>
      <c r="F188" s="48"/>
    </row>
    <row r="189">
      <c r="A189" s="47"/>
      <c r="B189" s="12"/>
      <c r="C189" s="12"/>
      <c r="D189" s="12"/>
      <c r="E189" s="12"/>
      <c r="F189" s="48"/>
    </row>
    <row r="190">
      <c r="A190" s="47"/>
      <c r="B190" s="12"/>
      <c r="C190" s="12"/>
      <c r="D190" s="12"/>
      <c r="E190" s="12"/>
      <c r="F190" s="48"/>
    </row>
    <row r="191">
      <c r="A191" s="47"/>
      <c r="B191" s="12"/>
      <c r="C191" s="12"/>
      <c r="D191" s="12"/>
      <c r="E191" s="12"/>
      <c r="F191" s="48"/>
    </row>
    <row r="192">
      <c r="A192" s="47"/>
      <c r="B192" s="12"/>
      <c r="C192" s="12"/>
      <c r="D192" s="12"/>
      <c r="E192" s="12"/>
      <c r="F192" s="48"/>
    </row>
    <row r="193">
      <c r="A193" s="47"/>
      <c r="B193" s="12"/>
      <c r="C193" s="12"/>
      <c r="D193" s="12"/>
      <c r="E193" s="12"/>
      <c r="F193" s="48"/>
    </row>
    <row r="194">
      <c r="A194" s="47"/>
      <c r="B194" s="12"/>
      <c r="C194" s="12"/>
      <c r="D194" s="12"/>
      <c r="E194" s="12"/>
      <c r="F194" s="48"/>
    </row>
    <row r="195">
      <c r="A195" s="47"/>
      <c r="B195" s="12"/>
      <c r="C195" s="12"/>
      <c r="D195" s="12"/>
      <c r="E195" s="12"/>
      <c r="F195" s="48"/>
    </row>
    <row r="196">
      <c r="A196" s="47"/>
      <c r="B196" s="12"/>
      <c r="C196" s="12"/>
      <c r="D196" s="12"/>
      <c r="E196" s="12"/>
      <c r="F196" s="48"/>
    </row>
    <row r="197">
      <c r="A197" s="47"/>
      <c r="B197" s="12"/>
      <c r="C197" s="12"/>
      <c r="D197" s="12"/>
      <c r="E197" s="12"/>
      <c r="F197" s="48"/>
    </row>
    <row r="198">
      <c r="A198" s="47"/>
      <c r="B198" s="12"/>
      <c r="C198" s="12"/>
      <c r="D198" s="12"/>
      <c r="E198" s="12"/>
      <c r="F198" s="48"/>
    </row>
    <row r="199">
      <c r="A199" s="47"/>
      <c r="B199" s="12"/>
      <c r="C199" s="12"/>
      <c r="D199" s="12"/>
      <c r="E199" s="12"/>
      <c r="F199" s="48"/>
    </row>
    <row r="200">
      <c r="A200" s="47"/>
      <c r="B200" s="12"/>
      <c r="C200" s="12"/>
      <c r="D200" s="12"/>
      <c r="E200" s="12"/>
      <c r="F200" s="48"/>
    </row>
    <row r="201">
      <c r="A201" s="47"/>
      <c r="B201" s="12"/>
      <c r="C201" s="12"/>
      <c r="D201" s="12"/>
      <c r="E201" s="12"/>
      <c r="F201" s="48"/>
    </row>
    <row r="202">
      <c r="A202" s="47"/>
      <c r="B202" s="12"/>
      <c r="C202" s="12"/>
      <c r="D202" s="12"/>
      <c r="E202" s="12"/>
      <c r="F202" s="48"/>
    </row>
    <row r="203">
      <c r="A203" s="47"/>
      <c r="B203" s="12"/>
      <c r="C203" s="12"/>
      <c r="D203" s="12"/>
      <c r="E203" s="12"/>
      <c r="F203" s="48"/>
    </row>
    <row r="204">
      <c r="A204" s="47"/>
      <c r="B204" s="12"/>
      <c r="C204" s="12"/>
      <c r="D204" s="12"/>
      <c r="E204" s="12"/>
      <c r="F204" s="48"/>
    </row>
    <row r="205">
      <c r="A205" s="47"/>
      <c r="B205" s="12"/>
      <c r="C205" s="12"/>
      <c r="D205" s="12"/>
      <c r="E205" s="12"/>
      <c r="F205" s="48"/>
    </row>
    <row r="206">
      <c r="A206" s="47"/>
      <c r="B206" s="12"/>
      <c r="C206" s="12"/>
      <c r="D206" s="12"/>
      <c r="E206" s="12"/>
      <c r="F206" s="48"/>
    </row>
    <row r="207">
      <c r="A207" s="47"/>
      <c r="B207" s="12"/>
      <c r="C207" s="12"/>
      <c r="D207" s="12"/>
      <c r="E207" s="12"/>
      <c r="F207" s="48"/>
    </row>
    <row r="208">
      <c r="A208" s="47"/>
      <c r="B208" s="12"/>
      <c r="C208" s="12"/>
      <c r="D208" s="12"/>
      <c r="E208" s="12"/>
      <c r="F208" s="48"/>
    </row>
    <row r="209">
      <c r="A209" s="47"/>
      <c r="B209" s="12"/>
      <c r="C209" s="12"/>
      <c r="D209" s="12"/>
      <c r="E209" s="12"/>
      <c r="F209" s="48"/>
    </row>
    <row r="210">
      <c r="A210" s="47"/>
      <c r="B210" s="12"/>
      <c r="C210" s="12"/>
      <c r="D210" s="12"/>
      <c r="E210" s="12"/>
      <c r="F210" s="48"/>
    </row>
    <row r="211">
      <c r="A211" s="47"/>
      <c r="B211" s="12"/>
      <c r="C211" s="12"/>
      <c r="D211" s="12"/>
      <c r="E211" s="12"/>
      <c r="F211" s="48"/>
    </row>
    <row r="212">
      <c r="A212" s="47"/>
      <c r="B212" s="12"/>
      <c r="C212" s="12"/>
      <c r="D212" s="12"/>
      <c r="E212" s="12"/>
      <c r="F212" s="48"/>
    </row>
    <row r="213">
      <c r="A213" s="47"/>
      <c r="B213" s="12"/>
      <c r="C213" s="12"/>
      <c r="D213" s="12"/>
      <c r="E213" s="12"/>
      <c r="F213" s="48"/>
    </row>
    <row r="214">
      <c r="A214" s="47"/>
      <c r="B214" s="12"/>
      <c r="C214" s="12"/>
      <c r="D214" s="12"/>
      <c r="E214" s="12"/>
      <c r="F214" s="48"/>
    </row>
    <row r="215">
      <c r="A215" s="47"/>
      <c r="B215" s="12"/>
      <c r="C215" s="12"/>
      <c r="D215" s="12"/>
      <c r="E215" s="12"/>
      <c r="F215" s="48"/>
    </row>
    <row r="216">
      <c r="A216" s="47"/>
      <c r="B216" s="12"/>
      <c r="C216" s="12"/>
      <c r="D216" s="12"/>
      <c r="E216" s="12"/>
      <c r="F216" s="48"/>
    </row>
    <row r="217">
      <c r="A217" s="47"/>
      <c r="B217" s="12"/>
      <c r="C217" s="12"/>
      <c r="D217" s="12"/>
      <c r="E217" s="12"/>
      <c r="F217" s="48"/>
    </row>
    <row r="218">
      <c r="A218" s="47"/>
      <c r="B218" s="12"/>
      <c r="C218" s="12"/>
      <c r="D218" s="12"/>
      <c r="E218" s="12"/>
      <c r="F218" s="48"/>
    </row>
    <row r="219">
      <c r="A219" s="47"/>
      <c r="B219" s="12"/>
      <c r="C219" s="12"/>
      <c r="D219" s="12"/>
      <c r="E219" s="12"/>
      <c r="F219" s="48"/>
    </row>
    <row r="220">
      <c r="A220" s="47"/>
      <c r="B220" s="12"/>
      <c r="C220" s="12"/>
      <c r="D220" s="12"/>
      <c r="E220" s="12"/>
      <c r="F220" s="48"/>
    </row>
    <row r="221">
      <c r="A221" s="47"/>
      <c r="B221" s="12"/>
      <c r="C221" s="12"/>
      <c r="D221" s="12"/>
      <c r="E221" s="12"/>
      <c r="F221" s="48"/>
    </row>
    <row r="222">
      <c r="A222" s="47"/>
      <c r="B222" s="12"/>
      <c r="C222" s="12"/>
      <c r="D222" s="12"/>
      <c r="E222" s="12"/>
      <c r="F222" s="48"/>
    </row>
    <row r="223">
      <c r="A223" s="47"/>
      <c r="B223" s="12"/>
      <c r="C223" s="12"/>
      <c r="D223" s="12"/>
      <c r="E223" s="12"/>
      <c r="F223" s="48"/>
    </row>
    <row r="224">
      <c r="A224" s="47"/>
      <c r="B224" s="12"/>
      <c r="C224" s="12"/>
      <c r="D224" s="12"/>
      <c r="E224" s="12"/>
      <c r="F224" s="48"/>
    </row>
    <row r="225">
      <c r="A225" s="47"/>
      <c r="B225" s="12"/>
      <c r="C225" s="12"/>
      <c r="D225" s="12"/>
      <c r="E225" s="12"/>
      <c r="F225" s="48"/>
    </row>
    <row r="226">
      <c r="A226" s="47"/>
      <c r="B226" s="12"/>
      <c r="C226" s="12"/>
      <c r="D226" s="12"/>
      <c r="E226" s="12"/>
      <c r="F226" s="48"/>
    </row>
    <row r="227">
      <c r="A227" s="47"/>
      <c r="B227" s="12"/>
      <c r="C227" s="12"/>
      <c r="D227" s="12"/>
      <c r="E227" s="12"/>
      <c r="F227" s="48"/>
    </row>
    <row r="228">
      <c r="A228" s="47"/>
      <c r="B228" s="12"/>
      <c r="C228" s="12"/>
      <c r="D228" s="12"/>
      <c r="E228" s="12"/>
      <c r="F228" s="48"/>
    </row>
    <row r="229">
      <c r="A229" s="47"/>
      <c r="B229" s="12"/>
      <c r="C229" s="12"/>
      <c r="D229" s="12"/>
      <c r="E229" s="12"/>
      <c r="F229" s="48"/>
    </row>
    <row r="230">
      <c r="A230" s="47"/>
      <c r="B230" s="12"/>
      <c r="C230" s="12"/>
      <c r="D230" s="12"/>
      <c r="E230" s="12"/>
      <c r="F230" s="48"/>
    </row>
    <row r="231">
      <c r="A231" s="47"/>
      <c r="B231" s="12"/>
      <c r="C231" s="12"/>
      <c r="D231" s="12"/>
      <c r="E231" s="12"/>
      <c r="F231" s="48"/>
    </row>
    <row r="232">
      <c r="A232" s="47"/>
      <c r="B232" s="12"/>
      <c r="C232" s="12"/>
      <c r="D232" s="12"/>
      <c r="E232" s="12"/>
      <c r="F232" s="48"/>
    </row>
    <row r="233">
      <c r="A233" s="47"/>
      <c r="B233" s="12"/>
      <c r="C233" s="12"/>
      <c r="D233" s="12"/>
      <c r="E233" s="12"/>
      <c r="F233" s="48"/>
    </row>
    <row r="234">
      <c r="A234" s="47"/>
      <c r="B234" s="12"/>
      <c r="C234" s="12"/>
      <c r="D234" s="12"/>
      <c r="E234" s="12"/>
      <c r="F234" s="48"/>
    </row>
    <row r="235">
      <c r="A235" s="47"/>
      <c r="B235" s="12"/>
      <c r="C235" s="12"/>
      <c r="D235" s="12"/>
      <c r="E235" s="12"/>
      <c r="F235" s="48"/>
    </row>
    <row r="236">
      <c r="A236" s="47"/>
      <c r="B236" s="12"/>
      <c r="C236" s="12"/>
      <c r="D236" s="12"/>
      <c r="E236" s="12"/>
      <c r="F236" s="48"/>
    </row>
    <row r="237">
      <c r="A237" s="47"/>
      <c r="B237" s="12"/>
      <c r="C237" s="12"/>
      <c r="D237" s="12"/>
      <c r="E237" s="12"/>
      <c r="F237" s="48"/>
    </row>
    <row r="238">
      <c r="A238" s="47"/>
      <c r="B238" s="12"/>
      <c r="C238" s="12"/>
      <c r="D238" s="12"/>
      <c r="E238" s="12"/>
      <c r="F238" s="48"/>
    </row>
    <row r="239">
      <c r="A239" s="47"/>
      <c r="B239" s="12"/>
      <c r="C239" s="12"/>
      <c r="D239" s="12"/>
      <c r="E239" s="12"/>
      <c r="F239" s="48"/>
    </row>
    <row r="240">
      <c r="A240" s="47"/>
      <c r="B240" s="12"/>
      <c r="C240" s="12"/>
      <c r="D240" s="12"/>
      <c r="E240" s="12"/>
      <c r="F240" s="48"/>
    </row>
    <row r="241">
      <c r="A241" s="47"/>
      <c r="B241" s="12"/>
      <c r="C241" s="12"/>
      <c r="D241" s="12"/>
      <c r="E241" s="12"/>
      <c r="F241" s="48"/>
    </row>
    <row r="242">
      <c r="A242" s="47"/>
      <c r="B242" s="12"/>
      <c r="C242" s="12"/>
      <c r="D242" s="12"/>
      <c r="E242" s="12"/>
      <c r="F242" s="48"/>
    </row>
    <row r="243">
      <c r="A243" s="47"/>
      <c r="B243" s="12"/>
      <c r="C243" s="12"/>
      <c r="D243" s="12"/>
      <c r="E243" s="12"/>
      <c r="F243" s="48"/>
    </row>
    <row r="244">
      <c r="A244" s="47"/>
      <c r="B244" s="12"/>
      <c r="C244" s="12"/>
      <c r="D244" s="12"/>
      <c r="E244" s="12"/>
      <c r="F244" s="48"/>
    </row>
    <row r="245">
      <c r="A245" s="47"/>
      <c r="B245" s="12"/>
      <c r="C245" s="12"/>
      <c r="D245" s="12"/>
      <c r="E245" s="12"/>
      <c r="F245" s="48"/>
    </row>
    <row r="246">
      <c r="A246" s="47"/>
      <c r="B246" s="12"/>
      <c r="C246" s="12"/>
      <c r="D246" s="12"/>
      <c r="E246" s="12"/>
      <c r="F246" s="48"/>
    </row>
    <row r="247">
      <c r="A247" s="47"/>
      <c r="B247" s="12"/>
      <c r="C247" s="12"/>
      <c r="D247" s="12"/>
      <c r="E247" s="12"/>
      <c r="F247" s="48"/>
    </row>
    <row r="248">
      <c r="A248" s="47"/>
      <c r="B248" s="12"/>
      <c r="C248" s="12"/>
      <c r="D248" s="12"/>
      <c r="E248" s="12"/>
      <c r="F248" s="48"/>
    </row>
    <row r="249">
      <c r="A249" s="47"/>
      <c r="B249" s="12"/>
      <c r="C249" s="12"/>
      <c r="D249" s="12"/>
      <c r="E249" s="12"/>
      <c r="F249" s="48"/>
    </row>
    <row r="250">
      <c r="A250" s="47"/>
      <c r="B250" s="12"/>
      <c r="C250" s="12"/>
      <c r="D250" s="12"/>
      <c r="E250" s="12"/>
      <c r="F250" s="48"/>
    </row>
    <row r="251">
      <c r="A251" s="47"/>
      <c r="B251" s="12"/>
      <c r="C251" s="12"/>
      <c r="D251" s="12"/>
      <c r="E251" s="12"/>
      <c r="F251" s="48"/>
    </row>
    <row r="252">
      <c r="A252" s="47"/>
      <c r="B252" s="12"/>
      <c r="C252" s="12"/>
      <c r="D252" s="12"/>
      <c r="E252" s="12"/>
      <c r="F252" s="48"/>
    </row>
    <row r="253">
      <c r="A253" s="47"/>
      <c r="B253" s="12"/>
      <c r="C253" s="12"/>
      <c r="D253" s="12"/>
      <c r="E253" s="12"/>
      <c r="F253" s="48"/>
    </row>
    <row r="254">
      <c r="A254" s="47"/>
      <c r="B254" s="12"/>
      <c r="C254" s="12"/>
      <c r="D254" s="12"/>
      <c r="E254" s="12"/>
      <c r="F254" s="48"/>
    </row>
    <row r="255">
      <c r="A255" s="47"/>
      <c r="B255" s="12"/>
      <c r="C255" s="12"/>
      <c r="D255" s="12"/>
      <c r="E255" s="12"/>
      <c r="F255" s="48"/>
    </row>
    <row r="256">
      <c r="A256" s="47"/>
      <c r="B256" s="12"/>
      <c r="C256" s="12"/>
      <c r="D256" s="12"/>
      <c r="E256" s="12"/>
      <c r="F256" s="48"/>
    </row>
    <row r="257">
      <c r="A257" s="47"/>
      <c r="B257" s="12"/>
      <c r="C257" s="12"/>
      <c r="D257" s="12"/>
      <c r="E257" s="12"/>
      <c r="F257" s="48"/>
    </row>
    <row r="258">
      <c r="A258" s="47"/>
      <c r="B258" s="12"/>
      <c r="C258" s="12"/>
      <c r="D258" s="12"/>
      <c r="E258" s="12"/>
      <c r="F258" s="48"/>
    </row>
    <row r="259">
      <c r="A259" s="47"/>
      <c r="B259" s="12"/>
      <c r="C259" s="12"/>
      <c r="D259" s="12"/>
      <c r="E259" s="12"/>
      <c r="F259" s="48"/>
    </row>
    <row r="260">
      <c r="A260" s="47"/>
      <c r="B260" s="12"/>
      <c r="C260" s="12"/>
      <c r="D260" s="12"/>
      <c r="E260" s="12"/>
      <c r="F260" s="48"/>
    </row>
    <row r="261">
      <c r="A261" s="47"/>
      <c r="B261" s="12"/>
      <c r="C261" s="12"/>
      <c r="D261" s="12"/>
      <c r="E261" s="12"/>
      <c r="F261" s="48"/>
    </row>
    <row r="262">
      <c r="A262" s="47"/>
      <c r="B262" s="12"/>
      <c r="C262" s="12"/>
      <c r="D262" s="12"/>
      <c r="E262" s="12"/>
      <c r="F262" s="48"/>
    </row>
    <row r="263">
      <c r="A263" s="47"/>
      <c r="B263" s="12"/>
      <c r="C263" s="12"/>
      <c r="D263" s="12"/>
      <c r="E263" s="12"/>
      <c r="F263" s="48"/>
    </row>
    <row r="264">
      <c r="A264" s="47"/>
      <c r="B264" s="12"/>
      <c r="C264" s="12"/>
      <c r="D264" s="12"/>
      <c r="E264" s="12"/>
      <c r="F264" s="48"/>
    </row>
    <row r="265">
      <c r="A265" s="47"/>
      <c r="B265" s="12"/>
      <c r="C265" s="12"/>
      <c r="D265" s="12"/>
      <c r="E265" s="12"/>
      <c r="F265" s="48"/>
    </row>
    <row r="266">
      <c r="A266" s="47"/>
      <c r="B266" s="12"/>
      <c r="C266" s="12"/>
      <c r="D266" s="12"/>
      <c r="E266" s="12"/>
      <c r="F266" s="48"/>
    </row>
    <row r="267">
      <c r="A267" s="47"/>
      <c r="B267" s="12"/>
      <c r="C267" s="12"/>
      <c r="D267" s="12"/>
      <c r="E267" s="12"/>
      <c r="F267" s="48"/>
    </row>
    <row r="268">
      <c r="A268" s="47"/>
      <c r="B268" s="12"/>
      <c r="C268" s="12"/>
      <c r="D268" s="12"/>
      <c r="E268" s="12"/>
      <c r="F268" s="48"/>
    </row>
    <row r="269">
      <c r="A269" s="47"/>
      <c r="B269" s="12"/>
      <c r="C269" s="12"/>
      <c r="D269" s="12"/>
      <c r="E269" s="12"/>
      <c r="F269" s="48"/>
    </row>
    <row r="270">
      <c r="A270" s="47"/>
      <c r="B270" s="12"/>
      <c r="C270" s="12"/>
      <c r="D270" s="12"/>
      <c r="E270" s="12"/>
      <c r="F270" s="48"/>
    </row>
    <row r="271">
      <c r="A271" s="47"/>
      <c r="B271" s="12"/>
      <c r="C271" s="12"/>
      <c r="D271" s="12"/>
      <c r="E271" s="12"/>
      <c r="F271" s="48"/>
    </row>
    <row r="272">
      <c r="A272" s="47"/>
      <c r="B272" s="12"/>
      <c r="C272" s="12"/>
      <c r="D272" s="12"/>
      <c r="E272" s="12"/>
      <c r="F272" s="48"/>
    </row>
    <row r="273">
      <c r="A273" s="47"/>
      <c r="B273" s="12"/>
      <c r="C273" s="12"/>
      <c r="D273" s="12"/>
      <c r="E273" s="12"/>
      <c r="F273" s="48"/>
    </row>
    <row r="274">
      <c r="A274" s="47"/>
      <c r="B274" s="12"/>
      <c r="C274" s="12"/>
      <c r="D274" s="12"/>
      <c r="E274" s="12"/>
      <c r="F274" s="48"/>
    </row>
    <row r="275">
      <c r="A275" s="47"/>
      <c r="B275" s="12"/>
      <c r="C275" s="12"/>
      <c r="D275" s="12"/>
      <c r="E275" s="12"/>
      <c r="F275" s="48"/>
    </row>
    <row r="276">
      <c r="A276" s="47"/>
      <c r="B276" s="12"/>
      <c r="C276" s="12"/>
      <c r="D276" s="12"/>
      <c r="E276" s="12"/>
      <c r="F276" s="48"/>
    </row>
    <row r="277">
      <c r="A277" s="47"/>
      <c r="B277" s="12"/>
      <c r="C277" s="12"/>
      <c r="D277" s="12"/>
      <c r="E277" s="12"/>
      <c r="F277" s="48"/>
    </row>
    <row r="278">
      <c r="A278" s="47"/>
      <c r="B278" s="12"/>
      <c r="C278" s="12"/>
      <c r="D278" s="12"/>
      <c r="E278" s="12"/>
      <c r="F278" s="48"/>
    </row>
    <row r="279">
      <c r="A279" s="47"/>
      <c r="B279" s="12"/>
      <c r="C279" s="12"/>
      <c r="D279" s="12"/>
      <c r="E279" s="12"/>
      <c r="F279" s="48"/>
    </row>
    <row r="280">
      <c r="A280" s="47"/>
      <c r="B280" s="12"/>
      <c r="C280" s="12"/>
      <c r="D280" s="12"/>
      <c r="E280" s="12"/>
      <c r="F280" s="48"/>
    </row>
    <row r="281">
      <c r="A281" s="47"/>
      <c r="B281" s="12"/>
      <c r="C281" s="12"/>
      <c r="D281" s="12"/>
      <c r="E281" s="12"/>
      <c r="F281" s="48"/>
    </row>
    <row r="282">
      <c r="A282" s="47"/>
      <c r="B282" s="12"/>
      <c r="C282" s="12"/>
      <c r="D282" s="12"/>
      <c r="E282" s="12"/>
      <c r="F282" s="48"/>
    </row>
    <row r="283">
      <c r="A283" s="47"/>
      <c r="B283" s="12"/>
      <c r="C283" s="12"/>
      <c r="D283" s="12"/>
      <c r="E283" s="12"/>
      <c r="F283" s="48"/>
    </row>
    <row r="284">
      <c r="A284" s="47"/>
      <c r="B284" s="12"/>
      <c r="C284" s="12"/>
      <c r="D284" s="12"/>
      <c r="E284" s="12"/>
      <c r="F284" s="48"/>
    </row>
    <row r="285">
      <c r="A285" s="47"/>
      <c r="B285" s="12"/>
      <c r="C285" s="12"/>
      <c r="D285" s="12"/>
      <c r="E285" s="12"/>
      <c r="F285" s="48"/>
    </row>
    <row r="286">
      <c r="A286" s="47"/>
      <c r="B286" s="12"/>
      <c r="C286" s="12"/>
      <c r="D286" s="12"/>
      <c r="E286" s="12"/>
      <c r="F286" s="48"/>
    </row>
    <row r="287">
      <c r="A287" s="47"/>
      <c r="B287" s="12"/>
      <c r="C287" s="12"/>
      <c r="D287" s="12"/>
      <c r="E287" s="12"/>
      <c r="F287" s="48"/>
    </row>
    <row r="288">
      <c r="A288" s="47"/>
      <c r="B288" s="12"/>
      <c r="C288" s="12"/>
      <c r="D288" s="12"/>
      <c r="E288" s="12"/>
      <c r="F288" s="48"/>
    </row>
    <row r="289">
      <c r="A289" s="47"/>
      <c r="B289" s="12"/>
      <c r="C289" s="12"/>
      <c r="D289" s="12"/>
      <c r="E289" s="12"/>
      <c r="F289" s="48"/>
    </row>
    <row r="290">
      <c r="A290" s="47"/>
      <c r="B290" s="12"/>
      <c r="C290" s="12"/>
      <c r="D290" s="12"/>
      <c r="E290" s="12"/>
      <c r="F290" s="48"/>
    </row>
    <row r="291">
      <c r="A291" s="47"/>
      <c r="B291" s="12"/>
      <c r="C291" s="12"/>
      <c r="D291" s="12"/>
      <c r="E291" s="12"/>
      <c r="F291" s="48"/>
    </row>
    <row r="292">
      <c r="A292" s="47"/>
      <c r="B292" s="12"/>
      <c r="C292" s="12"/>
      <c r="D292" s="12"/>
      <c r="E292" s="12"/>
      <c r="F292" s="48"/>
    </row>
    <row r="293">
      <c r="A293" s="47"/>
      <c r="B293" s="12"/>
      <c r="C293" s="12"/>
      <c r="D293" s="12"/>
      <c r="E293" s="12"/>
      <c r="F293" s="48"/>
    </row>
    <row r="294">
      <c r="A294" s="47"/>
      <c r="B294" s="12"/>
      <c r="C294" s="12"/>
      <c r="D294" s="12"/>
      <c r="E294" s="12"/>
      <c r="F294" s="48"/>
    </row>
    <row r="295">
      <c r="A295" s="47"/>
      <c r="B295" s="12"/>
      <c r="C295" s="12"/>
      <c r="D295" s="12"/>
      <c r="E295" s="12"/>
      <c r="F295" s="48"/>
    </row>
    <row r="296">
      <c r="A296" s="47"/>
      <c r="B296" s="12"/>
      <c r="C296" s="12"/>
      <c r="D296" s="12"/>
      <c r="E296" s="12"/>
      <c r="F296" s="48"/>
    </row>
    <row r="297">
      <c r="A297" s="47"/>
      <c r="B297" s="12"/>
      <c r="C297" s="12"/>
      <c r="D297" s="12"/>
      <c r="E297" s="12"/>
      <c r="F297" s="48"/>
    </row>
    <row r="298">
      <c r="A298" s="47"/>
      <c r="B298" s="12"/>
      <c r="C298" s="12"/>
      <c r="D298" s="12"/>
      <c r="E298" s="12"/>
      <c r="F298" s="48"/>
    </row>
    <row r="299">
      <c r="A299" s="47"/>
      <c r="B299" s="12"/>
      <c r="C299" s="12"/>
      <c r="D299" s="12"/>
      <c r="E299" s="12"/>
      <c r="F299" s="48"/>
    </row>
    <row r="300">
      <c r="A300" s="47"/>
      <c r="B300" s="12"/>
      <c r="C300" s="12"/>
      <c r="D300" s="12"/>
      <c r="E300" s="12"/>
      <c r="F300" s="48"/>
    </row>
    <row r="301">
      <c r="A301" s="47"/>
      <c r="B301" s="12"/>
      <c r="C301" s="12"/>
      <c r="D301" s="12"/>
      <c r="E301" s="12"/>
      <c r="F301" s="48"/>
    </row>
    <row r="302">
      <c r="A302" s="47"/>
      <c r="B302" s="12"/>
      <c r="C302" s="12"/>
      <c r="D302" s="12"/>
      <c r="E302" s="12"/>
      <c r="F302" s="48"/>
    </row>
    <row r="303">
      <c r="A303" s="47"/>
      <c r="B303" s="12"/>
      <c r="C303" s="12"/>
      <c r="D303" s="12"/>
      <c r="E303" s="12"/>
      <c r="F303" s="48"/>
    </row>
    <row r="304">
      <c r="A304" s="47"/>
      <c r="B304" s="12"/>
      <c r="C304" s="12"/>
      <c r="D304" s="12"/>
      <c r="E304" s="12"/>
      <c r="F304" s="48"/>
    </row>
    <row r="305">
      <c r="A305" s="47"/>
      <c r="B305" s="12"/>
      <c r="C305" s="12"/>
      <c r="D305" s="12"/>
      <c r="E305" s="12"/>
      <c r="F305" s="48"/>
    </row>
    <row r="306">
      <c r="A306" s="47"/>
      <c r="B306" s="12"/>
      <c r="C306" s="12"/>
      <c r="D306" s="12"/>
      <c r="E306" s="12"/>
      <c r="F306" s="48"/>
    </row>
    <row r="307">
      <c r="A307" s="47"/>
      <c r="B307" s="12"/>
      <c r="C307" s="12"/>
      <c r="D307" s="12"/>
      <c r="E307" s="12"/>
      <c r="F307" s="48"/>
    </row>
    <row r="308">
      <c r="A308" s="47"/>
      <c r="B308" s="12"/>
      <c r="C308" s="12"/>
      <c r="D308" s="12"/>
      <c r="E308" s="12"/>
      <c r="F308" s="48"/>
    </row>
    <row r="309">
      <c r="A309" s="47"/>
      <c r="B309" s="12"/>
      <c r="C309" s="12"/>
      <c r="D309" s="12"/>
      <c r="E309" s="12"/>
      <c r="F309" s="48"/>
    </row>
    <row r="310">
      <c r="A310" s="47"/>
      <c r="B310" s="12"/>
      <c r="C310" s="12"/>
      <c r="D310" s="12"/>
      <c r="E310" s="12"/>
      <c r="F310" s="48"/>
    </row>
    <row r="311">
      <c r="A311" s="47"/>
      <c r="B311" s="12"/>
      <c r="C311" s="12"/>
      <c r="D311" s="12"/>
      <c r="E311" s="12"/>
      <c r="F311" s="48"/>
    </row>
    <row r="312">
      <c r="A312" s="47"/>
      <c r="B312" s="12"/>
      <c r="C312" s="12"/>
      <c r="D312" s="12"/>
      <c r="E312" s="12"/>
      <c r="F312" s="48"/>
    </row>
    <row r="313">
      <c r="A313" s="47"/>
      <c r="B313" s="12"/>
      <c r="C313" s="12"/>
      <c r="D313" s="12"/>
      <c r="E313" s="12"/>
      <c r="F313" s="48"/>
    </row>
    <row r="314">
      <c r="A314" s="47"/>
      <c r="B314" s="12"/>
      <c r="C314" s="12"/>
      <c r="D314" s="12"/>
      <c r="E314" s="12"/>
      <c r="F314" s="48"/>
    </row>
    <row r="315">
      <c r="A315" s="47"/>
      <c r="B315" s="12"/>
      <c r="C315" s="12"/>
      <c r="D315" s="12"/>
      <c r="E315" s="12"/>
      <c r="F315" s="48"/>
    </row>
    <row r="316">
      <c r="A316" s="47"/>
      <c r="B316" s="12"/>
      <c r="C316" s="12"/>
      <c r="D316" s="12"/>
      <c r="E316" s="12"/>
      <c r="F316" s="48"/>
    </row>
    <row r="317">
      <c r="A317" s="47"/>
      <c r="B317" s="12"/>
      <c r="C317" s="12"/>
      <c r="D317" s="12"/>
      <c r="E317" s="12"/>
      <c r="F317" s="48"/>
    </row>
    <row r="318">
      <c r="A318" s="47"/>
      <c r="B318" s="12"/>
      <c r="C318" s="12"/>
      <c r="D318" s="12"/>
      <c r="E318" s="12"/>
      <c r="F318" s="48"/>
    </row>
    <row r="319">
      <c r="A319" s="47"/>
      <c r="B319" s="12"/>
      <c r="C319" s="12"/>
      <c r="D319" s="12"/>
      <c r="E319" s="12"/>
      <c r="F319" s="48"/>
    </row>
    <row r="320">
      <c r="A320" s="47"/>
      <c r="B320" s="12"/>
      <c r="C320" s="12"/>
      <c r="D320" s="12"/>
      <c r="E320" s="12"/>
      <c r="F320" s="48"/>
    </row>
    <row r="321">
      <c r="A321" s="47"/>
      <c r="B321" s="12"/>
      <c r="C321" s="12"/>
      <c r="D321" s="12"/>
      <c r="E321" s="12"/>
      <c r="F321" s="48"/>
    </row>
    <row r="322">
      <c r="A322" s="47"/>
      <c r="B322" s="12"/>
      <c r="C322" s="12"/>
      <c r="D322" s="12"/>
      <c r="E322" s="12"/>
      <c r="F322" s="48"/>
    </row>
    <row r="323">
      <c r="A323" s="47"/>
      <c r="B323" s="12"/>
      <c r="C323" s="12"/>
      <c r="D323" s="12"/>
      <c r="E323" s="12"/>
      <c r="F323" s="48"/>
    </row>
    <row r="324">
      <c r="A324" s="47"/>
      <c r="B324" s="12"/>
      <c r="C324" s="12"/>
      <c r="D324" s="12"/>
      <c r="E324" s="12"/>
      <c r="F324" s="48"/>
    </row>
    <row r="325">
      <c r="A325" s="47"/>
      <c r="B325" s="12"/>
      <c r="C325" s="12"/>
      <c r="D325" s="12"/>
      <c r="E325" s="12"/>
      <c r="F325" s="48"/>
    </row>
    <row r="326">
      <c r="A326" s="47"/>
      <c r="B326" s="12"/>
      <c r="C326" s="12"/>
      <c r="D326" s="12"/>
      <c r="E326" s="12"/>
      <c r="F326" s="48"/>
    </row>
    <row r="327">
      <c r="A327" s="47"/>
      <c r="B327" s="12"/>
      <c r="C327" s="12"/>
      <c r="D327" s="12"/>
      <c r="E327" s="12"/>
      <c r="F327" s="48"/>
    </row>
    <row r="328">
      <c r="A328" s="47"/>
      <c r="B328" s="12"/>
      <c r="C328" s="12"/>
      <c r="D328" s="12"/>
      <c r="E328" s="12"/>
      <c r="F328" s="48"/>
    </row>
    <row r="329">
      <c r="A329" s="47"/>
      <c r="B329" s="12"/>
      <c r="C329" s="12"/>
      <c r="D329" s="12"/>
      <c r="E329" s="12"/>
      <c r="F329" s="48"/>
    </row>
    <row r="330">
      <c r="A330" s="47"/>
      <c r="B330" s="12"/>
      <c r="C330" s="12"/>
      <c r="D330" s="12"/>
      <c r="E330" s="12"/>
      <c r="F330" s="48"/>
    </row>
    <row r="331">
      <c r="A331" s="47"/>
      <c r="B331" s="12"/>
      <c r="C331" s="12"/>
      <c r="D331" s="12"/>
      <c r="E331" s="12"/>
      <c r="F331" s="48"/>
    </row>
    <row r="332">
      <c r="A332" s="47"/>
      <c r="B332" s="12"/>
      <c r="C332" s="12"/>
      <c r="D332" s="12"/>
      <c r="E332" s="12"/>
      <c r="F332" s="48"/>
    </row>
    <row r="333">
      <c r="A333" s="47"/>
      <c r="B333" s="12"/>
      <c r="C333" s="12"/>
      <c r="D333" s="12"/>
      <c r="E333" s="12"/>
      <c r="F333" s="48"/>
    </row>
    <row r="334">
      <c r="A334" s="47"/>
      <c r="B334" s="12"/>
      <c r="C334" s="12"/>
      <c r="D334" s="12"/>
      <c r="E334" s="12"/>
      <c r="F334" s="48"/>
    </row>
    <row r="335">
      <c r="A335" s="47"/>
      <c r="B335" s="12"/>
      <c r="C335" s="12"/>
      <c r="D335" s="12"/>
      <c r="E335" s="12"/>
      <c r="F335" s="48"/>
    </row>
    <row r="336">
      <c r="A336" s="47"/>
      <c r="B336" s="12"/>
      <c r="C336" s="12"/>
      <c r="D336" s="12"/>
      <c r="E336" s="12"/>
      <c r="F336" s="48"/>
    </row>
    <row r="337">
      <c r="A337" s="47"/>
      <c r="B337" s="12"/>
      <c r="C337" s="12"/>
      <c r="D337" s="12"/>
      <c r="E337" s="12"/>
      <c r="F337" s="48"/>
    </row>
    <row r="338">
      <c r="A338" s="47"/>
      <c r="B338" s="12"/>
      <c r="C338" s="12"/>
      <c r="D338" s="12"/>
      <c r="E338" s="12"/>
      <c r="F338" s="48"/>
    </row>
    <row r="339">
      <c r="A339" s="47"/>
      <c r="B339" s="12"/>
      <c r="C339" s="12"/>
      <c r="D339" s="12"/>
      <c r="E339" s="12"/>
      <c r="F339" s="48"/>
    </row>
    <row r="340">
      <c r="A340" s="47"/>
      <c r="B340" s="12"/>
      <c r="C340" s="12"/>
      <c r="D340" s="12"/>
      <c r="E340" s="12"/>
      <c r="F340" s="48"/>
    </row>
    <row r="341">
      <c r="A341" s="47"/>
      <c r="B341" s="12"/>
      <c r="C341" s="12"/>
      <c r="D341" s="12"/>
      <c r="E341" s="12"/>
      <c r="F341" s="48"/>
    </row>
    <row r="342">
      <c r="A342" s="47"/>
      <c r="B342" s="12"/>
      <c r="C342" s="12"/>
      <c r="D342" s="12"/>
      <c r="E342" s="12"/>
      <c r="F342" s="48"/>
    </row>
    <row r="343">
      <c r="A343" s="47"/>
      <c r="B343" s="12"/>
      <c r="C343" s="12"/>
      <c r="D343" s="12"/>
      <c r="E343" s="12"/>
      <c r="F343" s="48"/>
    </row>
    <row r="344">
      <c r="A344" s="47"/>
      <c r="B344" s="12"/>
      <c r="C344" s="12"/>
      <c r="D344" s="12"/>
      <c r="E344" s="12"/>
      <c r="F344" s="48"/>
    </row>
    <row r="345">
      <c r="A345" s="47"/>
      <c r="B345" s="12"/>
      <c r="C345" s="12"/>
      <c r="D345" s="12"/>
      <c r="E345" s="12"/>
      <c r="F345" s="48"/>
    </row>
    <row r="346">
      <c r="A346" s="47"/>
      <c r="B346" s="12"/>
      <c r="C346" s="12"/>
      <c r="D346" s="12"/>
      <c r="E346" s="12"/>
      <c r="F346" s="48"/>
    </row>
    <row r="347">
      <c r="A347" s="47"/>
      <c r="B347" s="12"/>
      <c r="C347" s="12"/>
      <c r="D347" s="12"/>
      <c r="E347" s="12"/>
      <c r="F347" s="48"/>
    </row>
    <row r="348">
      <c r="A348" s="47"/>
      <c r="B348" s="12"/>
      <c r="C348" s="12"/>
      <c r="D348" s="12"/>
      <c r="E348" s="12"/>
      <c r="F348" s="48"/>
    </row>
    <row r="349">
      <c r="A349" s="47"/>
      <c r="B349" s="12"/>
      <c r="C349" s="12"/>
      <c r="D349" s="12"/>
      <c r="E349" s="12"/>
      <c r="F349" s="48"/>
    </row>
    <row r="350">
      <c r="A350" s="47"/>
      <c r="B350" s="12"/>
      <c r="C350" s="12"/>
      <c r="D350" s="12"/>
      <c r="E350" s="12"/>
      <c r="F350" s="48"/>
    </row>
    <row r="351">
      <c r="A351" s="47"/>
      <c r="B351" s="12"/>
      <c r="C351" s="12"/>
      <c r="D351" s="12"/>
      <c r="E351" s="12"/>
      <c r="F351" s="48"/>
    </row>
    <row r="352">
      <c r="A352" s="47"/>
      <c r="B352" s="12"/>
      <c r="C352" s="12"/>
      <c r="D352" s="12"/>
      <c r="E352" s="12"/>
      <c r="F352" s="48"/>
    </row>
    <row r="353">
      <c r="A353" s="47"/>
      <c r="B353" s="12"/>
      <c r="C353" s="12"/>
      <c r="D353" s="12"/>
      <c r="E353" s="12"/>
      <c r="F353" s="48"/>
    </row>
    <row r="354">
      <c r="A354" s="47"/>
      <c r="B354" s="12"/>
      <c r="C354" s="12"/>
      <c r="D354" s="12"/>
      <c r="E354" s="12"/>
      <c r="F354" s="48"/>
    </row>
    <row r="355">
      <c r="A355" s="47"/>
      <c r="B355" s="12"/>
      <c r="C355" s="12"/>
      <c r="D355" s="12"/>
      <c r="E355" s="12"/>
      <c r="F355" s="48"/>
    </row>
    <row r="356">
      <c r="A356" s="47"/>
      <c r="B356" s="12"/>
      <c r="C356" s="12"/>
      <c r="D356" s="12"/>
      <c r="E356" s="12"/>
      <c r="F356" s="48"/>
    </row>
    <row r="357">
      <c r="A357" s="47"/>
      <c r="B357" s="12"/>
      <c r="C357" s="12"/>
      <c r="D357" s="12"/>
      <c r="E357" s="12"/>
      <c r="F357" s="48"/>
    </row>
    <row r="358">
      <c r="A358" s="47"/>
      <c r="B358" s="12"/>
      <c r="C358" s="12"/>
      <c r="D358" s="12"/>
      <c r="E358" s="12"/>
      <c r="F358" s="48"/>
    </row>
    <row r="359">
      <c r="A359" s="47"/>
      <c r="B359" s="12"/>
      <c r="C359" s="12"/>
      <c r="D359" s="12"/>
      <c r="E359" s="12"/>
      <c r="F359" s="48"/>
    </row>
    <row r="360">
      <c r="A360" s="47"/>
      <c r="B360" s="12"/>
      <c r="C360" s="12"/>
      <c r="D360" s="12"/>
      <c r="E360" s="12"/>
      <c r="F360" s="48"/>
    </row>
    <row r="361">
      <c r="A361" s="47"/>
      <c r="B361" s="12"/>
      <c r="C361" s="12"/>
      <c r="D361" s="12"/>
      <c r="E361" s="12"/>
      <c r="F361" s="48"/>
    </row>
    <row r="362">
      <c r="A362" s="47"/>
      <c r="B362" s="12"/>
      <c r="C362" s="12"/>
      <c r="D362" s="12"/>
      <c r="E362" s="12"/>
      <c r="F362" s="48"/>
    </row>
    <row r="363">
      <c r="A363" s="47"/>
      <c r="B363" s="12"/>
      <c r="C363" s="12"/>
      <c r="D363" s="12"/>
      <c r="E363" s="12"/>
      <c r="F363" s="48"/>
    </row>
    <row r="364">
      <c r="A364" s="47"/>
      <c r="B364" s="12"/>
      <c r="C364" s="12"/>
      <c r="D364" s="12"/>
      <c r="E364" s="12"/>
      <c r="F364" s="48"/>
    </row>
    <row r="365">
      <c r="A365" s="47"/>
      <c r="B365" s="12"/>
      <c r="C365" s="12"/>
      <c r="D365" s="12"/>
      <c r="E365" s="12"/>
      <c r="F365" s="48"/>
    </row>
    <row r="366">
      <c r="A366" s="47"/>
      <c r="B366" s="12"/>
      <c r="C366" s="12"/>
      <c r="D366" s="12"/>
      <c r="E366" s="12"/>
      <c r="F366" s="48"/>
    </row>
    <row r="367">
      <c r="A367" s="47"/>
      <c r="B367" s="12"/>
      <c r="C367" s="12"/>
      <c r="D367" s="12"/>
      <c r="E367" s="12"/>
      <c r="F367" s="48"/>
    </row>
    <row r="368">
      <c r="A368" s="47"/>
      <c r="B368" s="12"/>
      <c r="C368" s="12"/>
      <c r="D368" s="12"/>
      <c r="E368" s="12"/>
      <c r="F368" s="48"/>
    </row>
    <row r="369">
      <c r="A369" s="47"/>
      <c r="B369" s="12"/>
      <c r="C369" s="12"/>
      <c r="D369" s="12"/>
      <c r="E369" s="12"/>
      <c r="F369" s="48"/>
    </row>
    <row r="370">
      <c r="A370" s="47"/>
      <c r="B370" s="12"/>
      <c r="C370" s="12"/>
      <c r="D370" s="12"/>
      <c r="E370" s="12"/>
      <c r="F370" s="48"/>
    </row>
    <row r="371">
      <c r="A371" s="47"/>
      <c r="B371" s="12"/>
      <c r="C371" s="12"/>
      <c r="D371" s="12"/>
      <c r="E371" s="12"/>
      <c r="F371" s="48"/>
    </row>
    <row r="372">
      <c r="A372" s="47"/>
      <c r="B372" s="12"/>
      <c r="C372" s="12"/>
      <c r="D372" s="12"/>
      <c r="E372" s="12"/>
      <c r="F372" s="48"/>
    </row>
    <row r="373">
      <c r="A373" s="47"/>
      <c r="B373" s="12"/>
      <c r="C373" s="12"/>
      <c r="D373" s="12"/>
      <c r="E373" s="12"/>
      <c r="F373" s="48"/>
    </row>
    <row r="374">
      <c r="A374" s="47"/>
      <c r="B374" s="12"/>
      <c r="C374" s="12"/>
      <c r="D374" s="12"/>
      <c r="E374" s="12"/>
      <c r="F374" s="48"/>
    </row>
    <row r="375">
      <c r="A375" s="47"/>
      <c r="B375" s="12"/>
      <c r="C375" s="12"/>
      <c r="D375" s="12"/>
      <c r="E375" s="12"/>
      <c r="F375" s="48"/>
    </row>
    <row r="376">
      <c r="A376" s="47"/>
      <c r="B376" s="12"/>
      <c r="C376" s="12"/>
      <c r="D376" s="12"/>
      <c r="E376" s="12"/>
      <c r="F376" s="48"/>
    </row>
    <row r="377">
      <c r="A377" s="47"/>
      <c r="B377" s="12"/>
      <c r="C377" s="12"/>
      <c r="D377" s="12"/>
      <c r="E377" s="12"/>
      <c r="F377" s="48"/>
    </row>
    <row r="378">
      <c r="A378" s="47"/>
      <c r="B378" s="12"/>
      <c r="C378" s="12"/>
      <c r="D378" s="12"/>
      <c r="E378" s="12"/>
      <c r="F378" s="48"/>
    </row>
    <row r="379">
      <c r="A379" s="47"/>
      <c r="B379" s="12"/>
      <c r="C379" s="12"/>
      <c r="D379" s="12"/>
      <c r="E379" s="12"/>
      <c r="F379" s="48"/>
    </row>
    <row r="380">
      <c r="A380" s="47"/>
      <c r="B380" s="12"/>
      <c r="C380" s="12"/>
      <c r="D380" s="12"/>
      <c r="E380" s="12"/>
      <c r="F380" s="48"/>
    </row>
    <row r="381">
      <c r="A381" s="47"/>
      <c r="B381" s="12"/>
      <c r="C381" s="12"/>
      <c r="D381" s="12"/>
      <c r="E381" s="12"/>
      <c r="F381" s="48"/>
    </row>
    <row r="382">
      <c r="A382" s="47"/>
      <c r="B382" s="12"/>
      <c r="C382" s="12"/>
      <c r="D382" s="12"/>
      <c r="E382" s="12"/>
      <c r="F382" s="48"/>
    </row>
    <row r="383">
      <c r="A383" s="47"/>
      <c r="B383" s="12"/>
      <c r="C383" s="12"/>
      <c r="D383" s="12"/>
      <c r="E383" s="12"/>
      <c r="F383" s="48"/>
    </row>
    <row r="384">
      <c r="A384" s="47"/>
      <c r="B384" s="12"/>
      <c r="C384" s="12"/>
      <c r="D384" s="12"/>
      <c r="E384" s="12"/>
      <c r="F384" s="48"/>
    </row>
    <row r="385">
      <c r="A385" s="47"/>
      <c r="B385" s="12"/>
      <c r="C385" s="12"/>
      <c r="D385" s="12"/>
      <c r="E385" s="12"/>
      <c r="F385" s="48"/>
    </row>
    <row r="386">
      <c r="A386" s="47"/>
      <c r="B386" s="12"/>
      <c r="C386" s="12"/>
      <c r="D386" s="12"/>
      <c r="E386" s="12"/>
      <c r="F386" s="48"/>
    </row>
    <row r="387">
      <c r="A387" s="47"/>
      <c r="B387" s="12"/>
      <c r="C387" s="12"/>
      <c r="D387" s="12"/>
      <c r="E387" s="12"/>
      <c r="F387" s="48"/>
    </row>
    <row r="388">
      <c r="A388" s="47"/>
      <c r="B388" s="12"/>
      <c r="C388" s="12"/>
      <c r="D388" s="12"/>
      <c r="E388" s="12"/>
      <c r="F388" s="48"/>
    </row>
    <row r="389">
      <c r="A389" s="47"/>
      <c r="B389" s="12"/>
      <c r="C389" s="12"/>
      <c r="D389" s="12"/>
      <c r="E389" s="12"/>
      <c r="F389" s="48"/>
    </row>
    <row r="390">
      <c r="A390" s="47"/>
      <c r="B390" s="12"/>
      <c r="C390" s="12"/>
      <c r="D390" s="12"/>
      <c r="E390" s="12"/>
      <c r="F390" s="48"/>
    </row>
    <row r="391">
      <c r="A391" s="47"/>
      <c r="B391" s="12"/>
      <c r="C391" s="12"/>
      <c r="D391" s="12"/>
      <c r="E391" s="12"/>
      <c r="F391" s="48"/>
    </row>
    <row r="392">
      <c r="A392" s="47"/>
      <c r="B392" s="12"/>
      <c r="C392" s="12"/>
      <c r="D392" s="12"/>
      <c r="E392" s="12"/>
      <c r="F392" s="48"/>
    </row>
    <row r="393">
      <c r="A393" s="47"/>
      <c r="B393" s="12"/>
      <c r="C393" s="12"/>
      <c r="D393" s="12"/>
      <c r="E393" s="12"/>
      <c r="F393" s="48"/>
    </row>
    <row r="394">
      <c r="A394" s="47"/>
      <c r="B394" s="12"/>
      <c r="C394" s="12"/>
      <c r="D394" s="12"/>
      <c r="E394" s="12"/>
      <c r="F394" s="48"/>
    </row>
    <row r="395">
      <c r="A395" s="47"/>
      <c r="B395" s="12"/>
      <c r="C395" s="12"/>
      <c r="D395" s="12"/>
      <c r="E395" s="12"/>
      <c r="F395" s="48"/>
    </row>
    <row r="396">
      <c r="A396" s="47"/>
      <c r="B396" s="12"/>
      <c r="C396" s="12"/>
      <c r="D396" s="12"/>
      <c r="E396" s="12"/>
      <c r="F396" s="48"/>
    </row>
    <row r="397">
      <c r="A397" s="47"/>
      <c r="B397" s="12"/>
      <c r="C397" s="12"/>
      <c r="D397" s="12"/>
      <c r="E397" s="12"/>
      <c r="F397" s="48"/>
    </row>
    <row r="398">
      <c r="A398" s="47"/>
      <c r="B398" s="12"/>
      <c r="C398" s="12"/>
      <c r="D398" s="12"/>
      <c r="E398" s="12"/>
      <c r="F398" s="48"/>
    </row>
    <row r="399">
      <c r="A399" s="47"/>
      <c r="B399" s="12"/>
      <c r="C399" s="12"/>
      <c r="D399" s="12"/>
      <c r="E399" s="12"/>
      <c r="F399" s="48"/>
    </row>
    <row r="400">
      <c r="A400" s="47"/>
      <c r="B400" s="12"/>
      <c r="C400" s="12"/>
      <c r="D400" s="12"/>
      <c r="E400" s="12"/>
      <c r="F400" s="48"/>
    </row>
    <row r="401">
      <c r="A401" s="47"/>
      <c r="B401" s="12"/>
      <c r="C401" s="12"/>
      <c r="D401" s="12"/>
      <c r="E401" s="12"/>
      <c r="F401" s="48"/>
    </row>
    <row r="402">
      <c r="A402" s="47"/>
      <c r="B402" s="12"/>
      <c r="C402" s="12"/>
      <c r="D402" s="12"/>
      <c r="E402" s="12"/>
      <c r="F402" s="48"/>
    </row>
    <row r="403">
      <c r="A403" s="47"/>
      <c r="B403" s="12"/>
      <c r="C403" s="12"/>
      <c r="D403" s="12"/>
      <c r="E403" s="12"/>
      <c r="F403" s="48"/>
    </row>
    <row r="404">
      <c r="A404" s="47"/>
      <c r="B404" s="12"/>
      <c r="C404" s="12"/>
      <c r="D404" s="12"/>
      <c r="E404" s="12"/>
      <c r="F404" s="48"/>
    </row>
    <row r="405">
      <c r="A405" s="47"/>
      <c r="B405" s="12"/>
      <c r="C405" s="12"/>
      <c r="D405" s="12"/>
      <c r="E405" s="12"/>
      <c r="F405" s="48"/>
    </row>
    <row r="406">
      <c r="A406" s="47"/>
      <c r="B406" s="12"/>
      <c r="C406" s="12"/>
      <c r="D406" s="12"/>
      <c r="E406" s="12"/>
      <c r="F406" s="48"/>
    </row>
    <row r="407">
      <c r="A407" s="47"/>
      <c r="B407" s="12"/>
      <c r="C407" s="12"/>
      <c r="D407" s="12"/>
      <c r="E407" s="12"/>
      <c r="F407" s="48"/>
    </row>
    <row r="408">
      <c r="A408" s="47"/>
      <c r="B408" s="12"/>
      <c r="C408" s="12"/>
      <c r="D408" s="12"/>
      <c r="E408" s="12"/>
      <c r="F408" s="48"/>
    </row>
    <row r="409">
      <c r="A409" s="47"/>
      <c r="B409" s="12"/>
      <c r="C409" s="12"/>
      <c r="D409" s="12"/>
      <c r="E409" s="12"/>
      <c r="F409" s="48"/>
    </row>
    <row r="410">
      <c r="A410" s="47"/>
      <c r="B410" s="12"/>
      <c r="C410" s="12"/>
      <c r="D410" s="12"/>
      <c r="E410" s="12"/>
      <c r="F410" s="48"/>
    </row>
    <row r="411">
      <c r="A411" s="47"/>
      <c r="B411" s="12"/>
      <c r="C411" s="12"/>
      <c r="D411" s="12"/>
      <c r="E411" s="12"/>
      <c r="F411" s="48"/>
    </row>
    <row r="412">
      <c r="A412" s="47"/>
      <c r="B412" s="12"/>
      <c r="C412" s="12"/>
      <c r="D412" s="12"/>
      <c r="E412" s="12"/>
      <c r="F412" s="48"/>
    </row>
    <row r="413">
      <c r="A413" s="47"/>
      <c r="B413" s="12"/>
      <c r="C413" s="12"/>
      <c r="D413" s="12"/>
      <c r="E413" s="12"/>
      <c r="F413" s="48"/>
    </row>
    <row r="414">
      <c r="A414" s="47"/>
      <c r="B414" s="12"/>
      <c r="C414" s="12"/>
      <c r="D414" s="12"/>
      <c r="E414" s="12"/>
      <c r="F414" s="48"/>
    </row>
    <row r="415">
      <c r="A415" s="47"/>
      <c r="B415" s="12"/>
      <c r="C415" s="12"/>
      <c r="D415" s="12"/>
      <c r="E415" s="12"/>
      <c r="F415" s="48"/>
    </row>
    <row r="416">
      <c r="A416" s="47"/>
      <c r="B416" s="12"/>
      <c r="C416" s="12"/>
      <c r="D416" s="12"/>
      <c r="E416" s="12"/>
      <c r="F416" s="48"/>
    </row>
    <row r="417">
      <c r="A417" s="47"/>
      <c r="B417" s="12"/>
      <c r="C417" s="12"/>
      <c r="D417" s="12"/>
      <c r="E417" s="12"/>
      <c r="F417" s="48"/>
    </row>
    <row r="418">
      <c r="A418" s="47"/>
      <c r="B418" s="12"/>
      <c r="C418" s="12"/>
      <c r="D418" s="12"/>
      <c r="E418" s="12"/>
      <c r="F418" s="48"/>
    </row>
    <row r="419">
      <c r="A419" s="47"/>
      <c r="B419" s="12"/>
      <c r="C419" s="12"/>
      <c r="D419" s="12"/>
      <c r="E419" s="12"/>
      <c r="F419" s="48"/>
    </row>
  </sheetData>
  <autoFilter ref="$A$1:$E$3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2.63"/>
    <col customWidth="1" min="2" max="3" width="22.63"/>
    <col customWidth="1" min="4" max="4" width="65.13"/>
  </cols>
  <sheetData>
    <row r="1">
      <c r="A1" s="49" t="s">
        <v>676</v>
      </c>
    </row>
    <row r="2">
      <c r="A2" s="46" t="s">
        <v>677</v>
      </c>
      <c r="B2" s="12" t="s">
        <v>627</v>
      </c>
    </row>
    <row r="3">
      <c r="A3" s="46" t="s">
        <v>678</v>
      </c>
      <c r="B3" s="50">
        <v>46086.0</v>
      </c>
    </row>
    <row r="5">
      <c r="A5" s="46" t="s">
        <v>679</v>
      </c>
      <c r="B5" s="51">
        <v>46237.0</v>
      </c>
    </row>
    <row r="7">
      <c r="A7" s="46" t="s">
        <v>680</v>
      </c>
      <c r="C7" s="46" t="s">
        <v>681</v>
      </c>
    </row>
    <row r="8">
      <c r="A8" s="12" t="s">
        <v>608</v>
      </c>
      <c r="B8" s="52">
        <v>3.5</v>
      </c>
      <c r="C8" s="12" t="s">
        <v>611</v>
      </c>
      <c r="D8" s="52">
        <v>2.5</v>
      </c>
    </row>
    <row r="9">
      <c r="A9" s="12" t="s">
        <v>610</v>
      </c>
      <c r="B9" s="52">
        <v>3.5</v>
      </c>
      <c r="C9" s="12" t="s">
        <v>617</v>
      </c>
      <c r="D9" s="52">
        <v>3.0</v>
      </c>
    </row>
    <row r="10">
      <c r="A10" s="12" t="s">
        <v>612</v>
      </c>
      <c r="B10" s="52">
        <v>3.5</v>
      </c>
      <c r="C10" s="12" t="s">
        <v>618</v>
      </c>
      <c r="D10" s="52">
        <v>3.0</v>
      </c>
    </row>
    <row r="12">
      <c r="A12" s="46" t="s">
        <v>657</v>
      </c>
      <c r="B12" s="46" t="s">
        <v>618</v>
      </c>
    </row>
    <row r="13">
      <c r="A13" s="12" t="s">
        <v>607</v>
      </c>
      <c r="B13" s="52">
        <v>3.0</v>
      </c>
    </row>
    <row r="14">
      <c r="A14" s="12" t="s">
        <v>608</v>
      </c>
      <c r="B14" s="52">
        <v>3.5</v>
      </c>
    </row>
    <row r="15">
      <c r="A15" s="12" t="s">
        <v>609</v>
      </c>
      <c r="B15" s="52">
        <v>3.0</v>
      </c>
    </row>
    <row r="16">
      <c r="A16" s="12" t="s">
        <v>610</v>
      </c>
      <c r="B16" s="52">
        <v>3.5</v>
      </c>
    </row>
    <row r="17">
      <c r="A17" s="12" t="s">
        <v>611</v>
      </c>
      <c r="B17" s="52">
        <v>2.5</v>
      </c>
    </row>
    <row r="18">
      <c r="A18" s="12" t="s">
        <v>612</v>
      </c>
      <c r="B18" s="52">
        <v>3.5</v>
      </c>
    </row>
    <row r="19">
      <c r="A19" s="12" t="s">
        <v>613</v>
      </c>
      <c r="B19" s="52">
        <v>3.0</v>
      </c>
    </row>
    <row r="20">
      <c r="A20" s="12" t="s">
        <v>614</v>
      </c>
      <c r="B20" s="52">
        <v>3.0</v>
      </c>
    </row>
    <row r="21">
      <c r="A21" s="12" t="s">
        <v>615</v>
      </c>
      <c r="B21" s="52">
        <v>3.0</v>
      </c>
    </row>
    <row r="22">
      <c r="A22" s="12" t="s">
        <v>616</v>
      </c>
      <c r="B22" s="52">
        <v>3.0</v>
      </c>
    </row>
    <row r="23">
      <c r="A23" s="12" t="s">
        <v>617</v>
      </c>
      <c r="B23" s="52">
        <v>3.0</v>
      </c>
    </row>
    <row r="24">
      <c r="A24" s="12" t="s">
        <v>618</v>
      </c>
      <c r="B24" s="52">
        <v>3.0</v>
      </c>
    </row>
    <row r="27">
      <c r="A27" s="53" t="s">
        <v>682</v>
      </c>
    </row>
    <row r="28">
      <c r="A28" s="46" t="s">
        <v>649</v>
      </c>
    </row>
    <row r="29">
      <c r="A29" s="54">
        <v>46086.441666666666</v>
      </c>
      <c r="D29" s="48" t="s">
        <v>563</v>
      </c>
    </row>
    <row r="31">
      <c r="A31" s="46" t="s">
        <v>650</v>
      </c>
    </row>
    <row r="32">
      <c r="A32" s="54">
        <v>46086.441666666666</v>
      </c>
      <c r="D32" s="48" t="s">
        <v>602</v>
      </c>
    </row>
    <row r="34">
      <c r="A34" s="46" t="s">
        <v>663</v>
      </c>
    </row>
    <row r="35">
      <c r="A35" s="54">
        <v>46086.441666666666</v>
      </c>
      <c r="D35" s="48" t="s">
        <v>583</v>
      </c>
    </row>
    <row r="37">
      <c r="A37" s="46" t="s">
        <v>669</v>
      </c>
    </row>
    <row r="38">
      <c r="A38" s="54">
        <v>46086.441666666666</v>
      </c>
      <c r="D38" s="48" t="s">
        <v>595</v>
      </c>
    </row>
  </sheetData>
  <mergeCells count="6">
    <mergeCell ref="A1:D1"/>
    <mergeCell ref="B2:D2"/>
    <mergeCell ref="A28:D28"/>
    <mergeCell ref="A31:D31"/>
    <mergeCell ref="A34:D34"/>
    <mergeCell ref="A37:D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hidden="1" min="1" max="2" width="15.13"/>
    <col customWidth="1" min="3" max="8" width="17.63"/>
  </cols>
  <sheetData>
    <row r="1" ht="24.0" customHeight="1">
      <c r="A1" s="55" t="s">
        <v>683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4.0" customHeight="1"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56" t="s">
        <v>684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57" t="s">
        <v>673</v>
      </c>
      <c r="B5" s="58"/>
      <c r="C5" s="59" t="s">
        <v>632</v>
      </c>
      <c r="D5" s="58"/>
      <c r="E5" s="58"/>
      <c r="F5" s="58"/>
      <c r="G5" s="58"/>
      <c r="H5" s="60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61" t="s">
        <v>685</v>
      </c>
      <c r="B6" s="62"/>
      <c r="C6" s="63">
        <v>46095.0</v>
      </c>
      <c r="D6" s="62"/>
      <c r="E6" s="64"/>
      <c r="F6" s="64"/>
      <c r="G6" s="64"/>
      <c r="H6" s="6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66" t="s">
        <v>686</v>
      </c>
      <c r="B8" s="58"/>
      <c r="C8" s="58"/>
      <c r="D8" s="58"/>
      <c r="E8" s="58"/>
      <c r="F8" s="58"/>
      <c r="G8" s="58"/>
      <c r="H8" s="60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67" t="s">
        <v>687</v>
      </c>
      <c r="H9" s="68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69"/>
      <c r="H10" s="68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69"/>
      <c r="H11" s="68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69"/>
      <c r="H12" s="68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70" t="s">
        <v>688</v>
      </c>
      <c r="B13" s="62"/>
      <c r="C13" s="62"/>
      <c r="D13" s="62"/>
      <c r="E13" s="62"/>
      <c r="F13" s="62"/>
      <c r="G13" s="62"/>
      <c r="H13" s="71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66" t="s">
        <v>689</v>
      </c>
      <c r="B15" s="58"/>
      <c r="C15" s="58"/>
      <c r="D15" s="60"/>
      <c r="E15" s="66" t="s">
        <v>690</v>
      </c>
      <c r="F15" s="58"/>
      <c r="G15" s="58"/>
      <c r="H15" s="60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72" t="s">
        <v>614</v>
      </c>
      <c r="D16" s="73">
        <v>4.0</v>
      </c>
      <c r="E16" s="72" t="s">
        <v>613</v>
      </c>
      <c r="H16" s="73">
        <v>2.0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72" t="s">
        <v>612</v>
      </c>
      <c r="D17" s="73">
        <v>3.5</v>
      </c>
      <c r="E17" s="72" t="s">
        <v>608</v>
      </c>
      <c r="H17" s="73">
        <v>2.5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74" t="s">
        <v>607</v>
      </c>
      <c r="B18" s="62"/>
      <c r="C18" s="62"/>
      <c r="D18" s="75">
        <v>3.0</v>
      </c>
      <c r="E18" s="74" t="s">
        <v>611</v>
      </c>
      <c r="F18" s="62"/>
      <c r="G18" s="62"/>
      <c r="H18" s="75">
        <v>2.5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76" t="s">
        <v>691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1.0" customHeight="1">
      <c r="A22" s="77" t="s">
        <v>609</v>
      </c>
      <c r="B22" s="78"/>
      <c r="C22" s="78"/>
      <c r="D22" s="79">
        <v>3.0</v>
      </c>
      <c r="E22" s="80" t="s">
        <v>612</v>
      </c>
      <c r="F22" s="78"/>
      <c r="G22" s="78"/>
      <c r="H22" s="81">
        <v>3.5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1.0" customHeight="1">
      <c r="A23" s="77" t="s">
        <v>615</v>
      </c>
      <c r="B23" s="78"/>
      <c r="C23" s="78"/>
      <c r="D23" s="79">
        <v>3.0</v>
      </c>
      <c r="E23" s="80" t="s">
        <v>607</v>
      </c>
      <c r="F23" s="78"/>
      <c r="G23" s="78"/>
      <c r="H23" s="81">
        <v>3.0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1.0" customHeight="1">
      <c r="A24" s="77" t="s">
        <v>613</v>
      </c>
      <c r="B24" s="78"/>
      <c r="C24" s="78"/>
      <c r="D24" s="79">
        <v>2.0</v>
      </c>
      <c r="E24" s="80" t="s">
        <v>616</v>
      </c>
      <c r="F24" s="78"/>
      <c r="G24" s="78"/>
      <c r="H24" s="81">
        <v>3.0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1.0" customHeight="1">
      <c r="A25" s="77" t="s">
        <v>614</v>
      </c>
      <c r="B25" s="78"/>
      <c r="C25" s="78"/>
      <c r="D25" s="79">
        <v>4.0</v>
      </c>
      <c r="E25" s="80" t="s">
        <v>611</v>
      </c>
      <c r="F25" s="78"/>
      <c r="G25" s="78"/>
      <c r="H25" s="81">
        <v>2.5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1.0" customHeight="1">
      <c r="A26" s="77" t="s">
        <v>608</v>
      </c>
      <c r="B26" s="78"/>
      <c r="C26" s="78"/>
      <c r="D26" s="79">
        <v>2.5</v>
      </c>
      <c r="E26" s="80" t="s">
        <v>617</v>
      </c>
      <c r="F26" s="78"/>
      <c r="G26" s="78"/>
      <c r="H26" s="81">
        <v>2.5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1.0" customHeight="1">
      <c r="A27" s="77" t="s">
        <v>610</v>
      </c>
      <c r="B27" s="78"/>
      <c r="C27" s="78"/>
      <c r="D27" s="79">
        <v>3.0</v>
      </c>
      <c r="E27" s="82"/>
      <c r="F27" s="82"/>
      <c r="G27" s="82"/>
      <c r="H27" s="82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83" t="s">
        <v>657</v>
      </c>
      <c r="B30" s="83" t="s">
        <v>618</v>
      </c>
      <c r="C30" s="84" t="s">
        <v>692</v>
      </c>
      <c r="D30" s="58"/>
      <c r="E30" s="58"/>
      <c r="F30" s="58"/>
      <c r="G30" s="58"/>
      <c r="H30" s="60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85" t="s">
        <v>607</v>
      </c>
      <c r="B31" s="86">
        <v>3.0</v>
      </c>
      <c r="C31" s="87"/>
      <c r="D31" s="15"/>
      <c r="E31" s="15"/>
      <c r="F31" s="15"/>
      <c r="G31" s="15"/>
      <c r="H31" s="88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85" t="s">
        <v>608</v>
      </c>
      <c r="B32" s="86">
        <v>2.5</v>
      </c>
      <c r="C32" s="87"/>
      <c r="D32" s="15"/>
      <c r="E32" s="15"/>
      <c r="F32" s="15"/>
      <c r="G32" s="15"/>
      <c r="H32" s="88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85" t="s">
        <v>609</v>
      </c>
      <c r="B33" s="86">
        <v>3.0</v>
      </c>
      <c r="C33" s="87"/>
      <c r="D33" s="15"/>
      <c r="E33" s="15"/>
      <c r="F33" s="15"/>
      <c r="G33" s="15"/>
      <c r="H33" s="88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85" t="s">
        <v>610</v>
      </c>
      <c r="B34" s="86">
        <v>3.0</v>
      </c>
      <c r="C34" s="87"/>
      <c r="D34" s="15"/>
      <c r="E34" s="15"/>
      <c r="F34" s="15"/>
      <c r="G34" s="15"/>
      <c r="H34" s="88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85" t="s">
        <v>611</v>
      </c>
      <c r="B35" s="86">
        <v>2.5</v>
      </c>
      <c r="C35" s="87"/>
      <c r="D35" s="15"/>
      <c r="E35" s="15"/>
      <c r="F35" s="15"/>
      <c r="G35" s="15"/>
      <c r="H35" s="88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85" t="s">
        <v>612</v>
      </c>
      <c r="B36" s="86">
        <v>3.5</v>
      </c>
      <c r="C36" s="87"/>
      <c r="D36" s="15"/>
      <c r="E36" s="15"/>
      <c r="F36" s="15"/>
      <c r="G36" s="15"/>
      <c r="H36" s="88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85" t="s">
        <v>613</v>
      </c>
      <c r="B37" s="86">
        <v>2.0</v>
      </c>
      <c r="C37" s="87"/>
      <c r="D37" s="15"/>
      <c r="E37" s="15"/>
      <c r="F37" s="15"/>
      <c r="G37" s="15"/>
      <c r="H37" s="88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85" t="s">
        <v>614</v>
      </c>
      <c r="B38" s="86">
        <v>4.0</v>
      </c>
      <c r="C38" s="87"/>
      <c r="D38" s="15"/>
      <c r="E38" s="15"/>
      <c r="F38" s="15"/>
      <c r="G38" s="15"/>
      <c r="H38" s="88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85" t="s">
        <v>615</v>
      </c>
      <c r="B39" s="86">
        <v>3.0</v>
      </c>
      <c r="C39" s="87"/>
      <c r="D39" s="15"/>
      <c r="E39" s="15"/>
      <c r="F39" s="15"/>
      <c r="G39" s="15"/>
      <c r="H39" s="88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85" t="s">
        <v>616</v>
      </c>
      <c r="B40" s="86">
        <v>3.0</v>
      </c>
      <c r="C40" s="87"/>
      <c r="D40" s="15"/>
      <c r="E40" s="15"/>
      <c r="F40" s="15"/>
      <c r="G40" s="15"/>
      <c r="H40" s="88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85" t="s">
        <v>617</v>
      </c>
      <c r="B41" s="86">
        <v>2.5</v>
      </c>
      <c r="C41" s="87"/>
      <c r="D41" s="15"/>
      <c r="E41" s="15"/>
      <c r="F41" s="15"/>
      <c r="G41" s="15"/>
      <c r="H41" s="88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87"/>
      <c r="D42" s="15"/>
      <c r="E42" s="15"/>
      <c r="F42" s="15"/>
      <c r="G42" s="15"/>
      <c r="H42" s="88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87"/>
      <c r="D43" s="15"/>
      <c r="E43" s="15"/>
      <c r="F43" s="15"/>
      <c r="G43" s="15"/>
      <c r="H43" s="88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87"/>
      <c r="D44" s="15"/>
      <c r="E44" s="15"/>
      <c r="F44" s="15"/>
      <c r="G44" s="15"/>
      <c r="H44" s="88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87"/>
      <c r="D45" s="15"/>
      <c r="E45" s="15"/>
      <c r="F45" s="15"/>
      <c r="G45" s="15"/>
      <c r="H45" s="88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89"/>
      <c r="D46" s="64"/>
      <c r="E46" s="64"/>
      <c r="F46" s="64"/>
      <c r="G46" s="64"/>
      <c r="H46" s="6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1.0" customHeight="1">
      <c r="A49" s="90" t="s">
        <v>693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9.5" customHeight="1">
      <c r="A51" s="91" t="s">
        <v>571</v>
      </c>
      <c r="B51" s="58"/>
      <c r="C51" s="58"/>
      <c r="D51" s="58"/>
      <c r="E51" s="58"/>
      <c r="F51" s="58"/>
      <c r="G51" s="58"/>
      <c r="H51" s="60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92" t="s">
        <v>694</v>
      </c>
      <c r="H52" s="9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94"/>
      <c r="H53" s="93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94"/>
      <c r="H54" s="93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94"/>
      <c r="H55" s="93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95"/>
      <c r="B56" s="96"/>
      <c r="C56" s="96"/>
      <c r="D56" s="96"/>
      <c r="E56" s="96"/>
      <c r="F56" s="96"/>
      <c r="G56" s="96"/>
      <c r="H56" s="97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9.5" customHeight="1">
      <c r="A58" s="91" t="s">
        <v>648</v>
      </c>
      <c r="B58" s="58"/>
      <c r="C58" s="58"/>
      <c r="D58" s="58"/>
      <c r="E58" s="58"/>
      <c r="F58" s="58"/>
      <c r="G58" s="58"/>
      <c r="H58" s="60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92" t="s">
        <v>695</v>
      </c>
      <c r="H59" s="9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94"/>
      <c r="H60" s="93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94"/>
      <c r="H61" s="93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94"/>
      <c r="H62" s="93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95"/>
      <c r="B63" s="96"/>
      <c r="C63" s="96"/>
      <c r="D63" s="96"/>
      <c r="E63" s="96"/>
      <c r="F63" s="96"/>
      <c r="G63" s="96"/>
      <c r="H63" s="9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5">
    <mergeCell ref="A1:H2"/>
    <mergeCell ref="A3:H3"/>
    <mergeCell ref="A5:B5"/>
    <mergeCell ref="C5:H5"/>
    <mergeCell ref="A6:B6"/>
    <mergeCell ref="C6:D6"/>
    <mergeCell ref="A8:H8"/>
    <mergeCell ref="A17:C17"/>
    <mergeCell ref="A18:C18"/>
    <mergeCell ref="A9:H12"/>
    <mergeCell ref="A13:H13"/>
    <mergeCell ref="A15:D15"/>
    <mergeCell ref="E15:H15"/>
    <mergeCell ref="A16:C16"/>
    <mergeCell ref="E16:G16"/>
    <mergeCell ref="E17:G17"/>
    <mergeCell ref="A24:C24"/>
    <mergeCell ref="A25:C25"/>
    <mergeCell ref="A26:C26"/>
    <mergeCell ref="A27:C27"/>
    <mergeCell ref="E25:G25"/>
    <mergeCell ref="E26:G26"/>
    <mergeCell ref="C30:H30"/>
    <mergeCell ref="A49:H49"/>
    <mergeCell ref="A51:H51"/>
    <mergeCell ref="A52:H56"/>
    <mergeCell ref="A58:H58"/>
    <mergeCell ref="A59:H63"/>
    <mergeCell ref="E18:G18"/>
    <mergeCell ref="A21:H21"/>
    <mergeCell ref="A22:C22"/>
    <mergeCell ref="E22:G22"/>
    <mergeCell ref="A23:C23"/>
    <mergeCell ref="E23:G23"/>
    <mergeCell ref="E24:G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20.13"/>
    <col customWidth="1" min="3" max="8" width="17.63"/>
  </cols>
  <sheetData>
    <row r="1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46" t="s">
        <v>673</v>
      </c>
      <c r="B2" s="12" t="s">
        <v>645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0" customHeight="1">
      <c r="A4" s="98" t="s">
        <v>683</v>
      </c>
    </row>
    <row r="5" ht="24.0" customHeight="1"/>
    <row r="6">
      <c r="A6" s="99" t="s">
        <v>684</v>
      </c>
    </row>
    <row r="8">
      <c r="A8" s="100" t="s">
        <v>673</v>
      </c>
      <c r="B8" s="58"/>
      <c r="C8" s="101" t="s">
        <v>645</v>
      </c>
      <c r="D8" s="58"/>
      <c r="E8" s="58"/>
      <c r="F8" s="58"/>
      <c r="G8" s="58"/>
      <c r="H8" s="60"/>
    </row>
    <row r="9">
      <c r="A9" s="102" t="s">
        <v>685</v>
      </c>
      <c r="B9" s="62"/>
      <c r="C9" s="103">
        <v>46161.0</v>
      </c>
      <c r="D9" s="62"/>
      <c r="E9" s="104"/>
      <c r="F9" s="104"/>
      <c r="G9" s="104"/>
      <c r="H9" s="105"/>
    </row>
    <row r="11">
      <c r="A11" s="106" t="s">
        <v>686</v>
      </c>
      <c r="B11" s="58"/>
      <c r="C11" s="58"/>
      <c r="D11" s="58"/>
      <c r="E11" s="58"/>
      <c r="F11" s="58"/>
      <c r="G11" s="58"/>
      <c r="H11" s="60"/>
    </row>
    <row r="12">
      <c r="A12" s="107" t="s">
        <v>696</v>
      </c>
      <c r="H12" s="68"/>
    </row>
    <row r="13">
      <c r="A13" s="69"/>
      <c r="H13" s="68"/>
    </row>
    <row r="14">
      <c r="A14" s="69"/>
      <c r="H14" s="68"/>
    </row>
    <row r="15">
      <c r="A15" s="69"/>
      <c r="H15" s="68"/>
    </row>
    <row r="16">
      <c r="A16" s="108" t="s">
        <v>688</v>
      </c>
      <c r="B16" s="62"/>
      <c r="C16" s="62"/>
      <c r="D16" s="62"/>
      <c r="E16" s="62"/>
      <c r="F16" s="62"/>
      <c r="G16" s="62"/>
      <c r="H16" s="71"/>
    </row>
    <row r="18">
      <c r="A18" s="106" t="s">
        <v>689</v>
      </c>
      <c r="B18" s="58"/>
      <c r="C18" s="58"/>
      <c r="D18" s="60"/>
      <c r="E18" s="106" t="s">
        <v>690</v>
      </c>
      <c r="F18" s="58"/>
      <c r="G18" s="58"/>
      <c r="H18" s="60"/>
    </row>
    <row r="19">
      <c r="A19" s="109" t="s">
        <v>608</v>
      </c>
      <c r="D19" s="110">
        <v>4.0</v>
      </c>
      <c r="E19" s="109" t="s">
        <v>611</v>
      </c>
      <c r="H19" s="110">
        <v>2.0</v>
      </c>
    </row>
    <row r="20">
      <c r="A20" s="109" t="s">
        <v>610</v>
      </c>
      <c r="D20" s="110">
        <v>4.0</v>
      </c>
      <c r="E20" s="109" t="s">
        <v>607</v>
      </c>
      <c r="H20" s="110">
        <v>3.0</v>
      </c>
    </row>
    <row r="21">
      <c r="A21" s="111" t="s">
        <v>614</v>
      </c>
      <c r="B21" s="62"/>
      <c r="C21" s="62"/>
      <c r="D21" s="112">
        <v>4.0</v>
      </c>
      <c r="E21" s="111" t="s">
        <v>609</v>
      </c>
      <c r="F21" s="62"/>
      <c r="G21" s="62"/>
      <c r="H21" s="112">
        <v>3.0</v>
      </c>
    </row>
    <row r="24">
      <c r="A24" s="113" t="s">
        <v>691</v>
      </c>
    </row>
    <row r="25" ht="21.0" customHeight="1">
      <c r="A25" s="114" t="s">
        <v>609</v>
      </c>
      <c r="B25" s="78"/>
      <c r="C25" s="78"/>
      <c r="D25" s="115">
        <v>3.0</v>
      </c>
      <c r="E25" s="114" t="s">
        <v>612</v>
      </c>
      <c r="F25" s="78"/>
      <c r="G25" s="78"/>
      <c r="H25" s="115">
        <v>3.0</v>
      </c>
    </row>
    <row r="26" ht="21.0" customHeight="1">
      <c r="A26" s="114" t="s">
        <v>615</v>
      </c>
      <c r="B26" s="78"/>
      <c r="C26" s="78"/>
      <c r="D26" s="115">
        <v>3.0</v>
      </c>
      <c r="E26" s="114" t="s">
        <v>607</v>
      </c>
      <c r="F26" s="78"/>
      <c r="G26" s="78"/>
      <c r="H26" s="115">
        <v>3.0</v>
      </c>
    </row>
    <row r="27" ht="21.0" customHeight="1">
      <c r="A27" s="114" t="s">
        <v>613</v>
      </c>
      <c r="B27" s="78"/>
      <c r="C27" s="78"/>
      <c r="D27" s="115">
        <v>3.0</v>
      </c>
      <c r="E27" s="114" t="s">
        <v>616</v>
      </c>
      <c r="F27" s="78"/>
      <c r="G27" s="78"/>
      <c r="H27" s="115">
        <v>3.0</v>
      </c>
    </row>
    <row r="28" ht="21.0" customHeight="1">
      <c r="A28" s="114" t="s">
        <v>614</v>
      </c>
      <c r="B28" s="78"/>
      <c r="C28" s="78"/>
      <c r="D28" s="115">
        <v>4.0</v>
      </c>
      <c r="E28" s="114" t="s">
        <v>611</v>
      </c>
      <c r="F28" s="78"/>
      <c r="G28" s="78"/>
      <c r="H28" s="115">
        <v>2.0</v>
      </c>
    </row>
    <row r="29" ht="21.0" customHeight="1">
      <c r="A29" s="114" t="s">
        <v>608</v>
      </c>
      <c r="B29" s="78"/>
      <c r="C29" s="78"/>
      <c r="D29" s="115">
        <v>4.0</v>
      </c>
      <c r="E29" s="114" t="s">
        <v>617</v>
      </c>
      <c r="F29" s="78"/>
      <c r="G29" s="78"/>
      <c r="H29" s="115">
        <v>3.0</v>
      </c>
    </row>
    <row r="30" ht="21.0" customHeight="1">
      <c r="A30" s="114" t="s">
        <v>610</v>
      </c>
      <c r="B30" s="78"/>
      <c r="C30" s="78"/>
      <c r="D30" s="115">
        <v>4.0</v>
      </c>
      <c r="E30" s="116"/>
      <c r="F30" s="116"/>
      <c r="G30" s="116"/>
      <c r="H30" s="116"/>
    </row>
    <row r="33">
      <c r="A33" s="117" t="s">
        <v>657</v>
      </c>
      <c r="B33" s="117" t="s">
        <v>618</v>
      </c>
      <c r="C33" s="118" t="s">
        <v>692</v>
      </c>
      <c r="D33" s="58"/>
      <c r="E33" s="58"/>
      <c r="F33" s="58"/>
      <c r="G33" s="58"/>
      <c r="H33" s="60"/>
    </row>
    <row r="34">
      <c r="A34" s="12" t="s">
        <v>607</v>
      </c>
      <c r="B34" s="52">
        <v>3.0</v>
      </c>
      <c r="C34" s="119"/>
      <c r="H34" s="120"/>
    </row>
    <row r="35">
      <c r="A35" s="12" t="s">
        <v>608</v>
      </c>
      <c r="B35" s="52">
        <v>4.0</v>
      </c>
      <c r="C35" s="119"/>
      <c r="H35" s="120"/>
    </row>
    <row r="36">
      <c r="A36" s="12" t="s">
        <v>609</v>
      </c>
      <c r="B36" s="52">
        <v>3.0</v>
      </c>
      <c r="C36" s="119"/>
      <c r="H36" s="120"/>
    </row>
    <row r="37">
      <c r="A37" s="12" t="s">
        <v>610</v>
      </c>
      <c r="B37" s="52">
        <v>4.0</v>
      </c>
      <c r="C37" s="119"/>
      <c r="H37" s="120"/>
    </row>
    <row r="38">
      <c r="A38" s="12" t="s">
        <v>611</v>
      </c>
      <c r="B38" s="52">
        <v>2.0</v>
      </c>
      <c r="C38" s="119"/>
      <c r="H38" s="120"/>
    </row>
    <row r="39">
      <c r="A39" s="12" t="s">
        <v>612</v>
      </c>
      <c r="B39" s="52">
        <v>3.0</v>
      </c>
      <c r="C39" s="119"/>
      <c r="H39" s="120"/>
    </row>
    <row r="40">
      <c r="A40" s="12" t="s">
        <v>613</v>
      </c>
      <c r="B40" s="52">
        <v>3.0</v>
      </c>
      <c r="C40" s="119"/>
      <c r="H40" s="120"/>
    </row>
    <row r="41">
      <c r="A41" s="12" t="s">
        <v>614</v>
      </c>
      <c r="B41" s="52">
        <v>4.0</v>
      </c>
      <c r="C41" s="119"/>
      <c r="H41" s="120"/>
    </row>
    <row r="42">
      <c r="A42" s="12" t="s">
        <v>615</v>
      </c>
      <c r="B42" s="52">
        <v>3.0</v>
      </c>
      <c r="C42" s="119"/>
      <c r="H42" s="120"/>
    </row>
    <row r="43">
      <c r="A43" s="12" t="s">
        <v>616</v>
      </c>
      <c r="B43" s="52">
        <v>3.0</v>
      </c>
      <c r="C43" s="119"/>
      <c r="H43" s="120"/>
    </row>
    <row r="44">
      <c r="A44" s="12" t="s">
        <v>617</v>
      </c>
      <c r="B44" s="52">
        <v>3.0</v>
      </c>
      <c r="C44" s="119"/>
      <c r="H44" s="120"/>
    </row>
    <row r="45">
      <c r="C45" s="119"/>
      <c r="H45" s="120"/>
    </row>
    <row r="46">
      <c r="C46" s="119"/>
      <c r="H46" s="120"/>
    </row>
    <row r="47">
      <c r="C47" s="119"/>
      <c r="H47" s="120"/>
    </row>
    <row r="48">
      <c r="C48" s="119"/>
      <c r="H48" s="120"/>
    </row>
    <row r="49">
      <c r="C49" s="121"/>
      <c r="D49" s="104"/>
      <c r="E49" s="104"/>
      <c r="F49" s="104"/>
      <c r="G49" s="104"/>
      <c r="H49" s="105"/>
    </row>
    <row r="52" ht="21.0" customHeight="1">
      <c r="A52" s="122" t="s">
        <v>693</v>
      </c>
    </row>
    <row r="54" ht="19.5" customHeight="1">
      <c r="A54" s="123" t="s">
        <v>571</v>
      </c>
      <c r="B54" s="58"/>
      <c r="C54" s="58"/>
      <c r="D54" s="58"/>
      <c r="E54" s="58"/>
      <c r="F54" s="58"/>
      <c r="G54" s="58"/>
      <c r="H54" s="60"/>
    </row>
    <row r="55" ht="13.5" customHeight="1">
      <c r="A55" s="124" t="s">
        <v>697</v>
      </c>
      <c r="H55" s="93"/>
    </row>
    <row r="56" ht="13.5" customHeight="1">
      <c r="A56" s="94"/>
      <c r="H56" s="93"/>
    </row>
    <row r="57" ht="13.5" customHeight="1">
      <c r="A57" s="94"/>
      <c r="H57" s="93"/>
    </row>
    <row r="58" ht="13.5" customHeight="1">
      <c r="A58" s="94"/>
      <c r="H58" s="93"/>
    </row>
    <row r="59" ht="13.5" customHeight="1">
      <c r="A59" s="95"/>
      <c r="B59" s="96"/>
      <c r="C59" s="96"/>
      <c r="D59" s="96"/>
      <c r="E59" s="96"/>
      <c r="F59" s="96"/>
      <c r="G59" s="96"/>
      <c r="H59" s="97"/>
    </row>
    <row r="61" ht="19.5" customHeight="1">
      <c r="A61" s="125"/>
      <c r="B61" s="125"/>
      <c r="C61" s="125"/>
      <c r="D61" s="125"/>
      <c r="E61" s="125"/>
      <c r="F61" s="125"/>
      <c r="G61" s="125"/>
      <c r="H61" s="125"/>
    </row>
    <row r="62" ht="13.5" customHeight="1">
      <c r="A62" s="125"/>
      <c r="B62" s="125"/>
      <c r="C62" s="125"/>
      <c r="D62" s="125"/>
      <c r="E62" s="125"/>
      <c r="F62" s="125"/>
      <c r="G62" s="125"/>
      <c r="H62" s="125"/>
    </row>
    <row r="63" ht="13.5" customHeight="1">
      <c r="A63" s="125"/>
      <c r="B63" s="125"/>
      <c r="C63" s="125"/>
      <c r="D63" s="125"/>
      <c r="E63" s="125"/>
      <c r="F63" s="125"/>
      <c r="G63" s="125"/>
      <c r="H63" s="125"/>
    </row>
    <row r="64" ht="13.5" customHeight="1">
      <c r="A64" s="125"/>
      <c r="B64" s="125"/>
      <c r="C64" s="125"/>
      <c r="D64" s="125"/>
      <c r="E64" s="125"/>
      <c r="F64" s="125"/>
      <c r="G64" s="125"/>
      <c r="H64" s="125"/>
    </row>
    <row r="65" ht="13.5" customHeight="1">
      <c r="A65" s="125"/>
      <c r="B65" s="125"/>
      <c r="C65" s="125"/>
      <c r="D65" s="125"/>
      <c r="E65" s="125"/>
      <c r="F65" s="125"/>
      <c r="G65" s="125"/>
      <c r="H65" s="125"/>
    </row>
    <row r="66" ht="13.5" customHeight="1">
      <c r="A66" s="125"/>
      <c r="B66" s="125"/>
      <c r="C66" s="125"/>
      <c r="D66" s="125"/>
      <c r="E66" s="125"/>
      <c r="F66" s="125"/>
      <c r="G66" s="125"/>
      <c r="H66" s="125"/>
    </row>
  </sheetData>
  <mergeCells count="33">
    <mergeCell ref="A4:H5"/>
    <mergeCell ref="A6:H6"/>
    <mergeCell ref="A8:B8"/>
    <mergeCell ref="C8:H8"/>
    <mergeCell ref="A9:B9"/>
    <mergeCell ref="C9:D9"/>
    <mergeCell ref="A11:H11"/>
    <mergeCell ref="A20:C20"/>
    <mergeCell ref="A21:C21"/>
    <mergeCell ref="A12:H15"/>
    <mergeCell ref="A16:H16"/>
    <mergeCell ref="A18:D18"/>
    <mergeCell ref="E18:H18"/>
    <mergeCell ref="A19:C19"/>
    <mergeCell ref="E19:G19"/>
    <mergeCell ref="E20:G20"/>
    <mergeCell ref="A27:C27"/>
    <mergeCell ref="A28:C28"/>
    <mergeCell ref="A29:C29"/>
    <mergeCell ref="A30:C30"/>
    <mergeCell ref="E28:G28"/>
    <mergeCell ref="E29:G29"/>
    <mergeCell ref="C33:H33"/>
    <mergeCell ref="A52:H52"/>
    <mergeCell ref="A54:H54"/>
    <mergeCell ref="A55:H59"/>
    <mergeCell ref="E21:G21"/>
    <mergeCell ref="A24:H24"/>
    <mergeCell ref="A25:C25"/>
    <mergeCell ref="E25:G25"/>
    <mergeCell ref="A26:C26"/>
    <mergeCell ref="E26:G26"/>
    <mergeCell ref="E27:G27"/>
  </mergeCells>
  <dataValidations>
    <dataValidation type="list" allowBlank="1" showErrorMessage="1" sqref="B2">
      <formula1>Painel_Pessoas!$A$2:$A$28</formula1>
    </dataValidation>
  </dataValidations>
  <drawing r:id="rId1"/>
</worksheet>
</file>