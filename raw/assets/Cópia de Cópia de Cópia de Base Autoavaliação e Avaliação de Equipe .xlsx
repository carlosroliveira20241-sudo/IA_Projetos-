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s e Equipes ACE" sheetId="1" r:id="rId5"/>
    <sheet state="visible" name="Projetos e Equipes CCE" sheetId="2" r:id="rId6"/>
    <sheet state="visible" name="Projetos e Equipes MNP" sheetId="3" r:id="rId7"/>
    <sheet state="visible" name="Projetos e Equipes PRO" sheetId="4" r:id="rId8"/>
    <sheet state="visible" name="Projetos e Equipes QAB" sheetId="5" r:id="rId9"/>
    <sheet state="visible" name="Cópia de Projetos e Equipes" sheetId="6" r:id="rId10"/>
    <sheet state="visible" name="Competencias" sheetId="7" r:id="rId11"/>
  </sheets>
  <definedNames/>
  <calcPr/>
</workbook>
</file>

<file path=xl/sharedStrings.xml><?xml version="1.0" encoding="utf-8"?>
<sst xmlns="http://schemas.openxmlformats.org/spreadsheetml/2006/main" count="371" uniqueCount="217">
  <si>
    <t>Projeto</t>
  </si>
  <si>
    <t>Equipe</t>
  </si>
  <si>
    <t>Gerente</t>
  </si>
  <si>
    <t>Consultores</t>
  </si>
  <si>
    <t>PPCI UFRRJ</t>
  </si>
  <si>
    <t>Pedro de Souza Angelo</t>
  </si>
  <si>
    <t>Anna Clara Moura Reis</t>
  </si>
  <si>
    <t>Felipe Moreira de Andrade Soares</t>
  </si>
  <si>
    <t>Agatha Maria de Araújo Frossard Ferreira</t>
  </si>
  <si>
    <t>Acessibilidade UFRRJ</t>
  </si>
  <si>
    <t>Bruna Luísa Azevedo Marques Rocha</t>
  </si>
  <si>
    <t>Reforma DI IE IH Gustavo</t>
  </si>
  <si>
    <t>Marcos Paulo Santos da Silva</t>
  </si>
  <si>
    <t>Leonardo Zhao MIngtong</t>
  </si>
  <si>
    <t>Maria Fernanda Jame Romilho</t>
  </si>
  <si>
    <t>Arthur Catelani Gomes da Silva</t>
  </si>
  <si>
    <t>Reforma DI Acessibilidade FAPUR</t>
  </si>
  <si>
    <t>Lívia Alves da Costa</t>
  </si>
  <si>
    <t>Camila Bruckmann dos Santos</t>
  </si>
  <si>
    <t>DI Isaac</t>
  </si>
  <si>
    <t>DEV Makers</t>
  </si>
  <si>
    <t>Gabriel Santos Pereira</t>
  </si>
  <si>
    <t>Antonio Magalhães Figueira</t>
  </si>
  <si>
    <t>Pedro Henrique Gomes de Azevedo da Silva</t>
  </si>
  <si>
    <t>Dev Malvs Clean</t>
  </si>
  <si>
    <t>Eduardo Pereira Viana Filho</t>
  </si>
  <si>
    <t>Nicollas Viellas Lee</t>
  </si>
  <si>
    <t>Pedro Pimentel Alves Vieira</t>
  </si>
  <si>
    <t>Clara Guedes Fernandes</t>
  </si>
  <si>
    <t>Isabella Maria Ribeiro Ferreira</t>
  </si>
  <si>
    <t>App Tork One</t>
  </si>
  <si>
    <t>Matheus Chrysostomo de Siqueira</t>
  </si>
  <si>
    <t>Dev 220 Decibéis</t>
  </si>
  <si>
    <t xml:space="preserve">Giovanna Maciel Marques de Barros </t>
  </si>
  <si>
    <t>Beatriz Rodrigues Humberto Vieira</t>
  </si>
  <si>
    <t>Victor Souza Cruz</t>
  </si>
  <si>
    <t>Raquel 2.0</t>
  </si>
  <si>
    <t>Gabriel dos Santos Percu Saldanga</t>
  </si>
  <si>
    <t>Rodrigo Polly Anthés</t>
  </si>
  <si>
    <t>APP Futeba</t>
  </si>
  <si>
    <t>App Italypet</t>
  </si>
  <si>
    <t>DesEq Italy Pet</t>
  </si>
  <si>
    <t>Eduardo Morais da Silva Caldas</t>
  </si>
  <si>
    <t>Pedro Carneiro Cavalcante</t>
  </si>
  <si>
    <t>Dionysio dos Santos Rangel</t>
  </si>
  <si>
    <t>Heitor Alves Macena Mendes</t>
  </si>
  <si>
    <t>Maria Eduarda Marques Araújo</t>
  </si>
  <si>
    <t>Gabriel Pinheiro Wriedt</t>
  </si>
  <si>
    <t>DesEq Telecom</t>
  </si>
  <si>
    <t>Guilherme de Oliveira Medina</t>
  </si>
  <si>
    <t>Gilson Batista Machado Martins</t>
  </si>
  <si>
    <t>DesEq Mecânico Bolsa de Sangue</t>
  </si>
  <si>
    <t>Guilherme Moura Mendes</t>
  </si>
  <si>
    <t>ER Amostras de Rochas 2.0</t>
  </si>
  <si>
    <t>Matheus da Silva Fonseca</t>
  </si>
  <si>
    <t>ER Lentes</t>
  </si>
  <si>
    <t>Luise Jully Lopes Moreira</t>
  </si>
  <si>
    <t>Anna Júlia Marques dos Santos</t>
  </si>
  <si>
    <t>Deseq Mec  Cirúrgico</t>
  </si>
  <si>
    <t>ER Amostra de Sangue</t>
  </si>
  <si>
    <t>Guilherme Guglielmo Gargaglione</t>
  </si>
  <si>
    <t>DesEq Eletrônico Eletrônico Sinais</t>
  </si>
  <si>
    <t>PN EcoBarbearias</t>
  </si>
  <si>
    <t>Clara Emmanuel Balocco</t>
  </si>
  <si>
    <t>Luiza Pavani de Castro</t>
  </si>
  <si>
    <t>João Leote de Paula</t>
  </si>
  <si>
    <t>PE Baruque</t>
  </si>
  <si>
    <t>Lucas Angelo Ribeiro</t>
  </si>
  <si>
    <t>Antonio Barros Valentim</t>
  </si>
  <si>
    <t>Rafael Luiz Santos Nobre</t>
  </si>
  <si>
    <t>OP LiveMode</t>
  </si>
  <si>
    <t>Breno Gonçalves Faria</t>
  </si>
  <si>
    <t>João Victor Moraes Bezerra Sousa</t>
  </si>
  <si>
    <t>Arthur Rodrigues Amorim</t>
  </si>
  <si>
    <t>POPF Vaquinha</t>
  </si>
  <si>
    <t>Ana Clara Martinho Pinheiro</t>
  </si>
  <si>
    <t>Bento Magno Baptista Gonçalves</t>
  </si>
  <si>
    <t>Gabriela Andrade Gonçalves</t>
  </si>
  <si>
    <t>EVDF Emulsificante</t>
  </si>
  <si>
    <t>Maria Clara Vasconcelos Menegoy Siqueira</t>
  </si>
  <si>
    <t>Joana Rei Barreto da Costa</t>
  </si>
  <si>
    <t>Raicca Nóbrega Nicolau dos Santos</t>
  </si>
  <si>
    <t>Aprimoramento MC Bem casado</t>
  </si>
  <si>
    <t>Renato Saboia Cordeiro de Azevedo</t>
  </si>
  <si>
    <t>Luiz Antonio Alves Prado Filho</t>
  </si>
  <si>
    <t>EVDFMC Temperos</t>
  </si>
  <si>
    <t>Gabriela D'Agostini Fraga</t>
  </si>
  <si>
    <t>Clara de Abreu Amante</t>
  </si>
  <si>
    <t>Gabriela Hartalian Klescoski</t>
  </si>
  <si>
    <t>EVDMC Drink Sem Alcool</t>
  </si>
  <si>
    <t>EVDF Massinha Polimérica</t>
  </si>
  <si>
    <t>Estela Cerqueira Werneck Vianna</t>
  </si>
  <si>
    <t>Victor Ferreira Delaia</t>
  </si>
  <si>
    <t>DF Geleca</t>
  </si>
  <si>
    <t>Eduardo Meth Domingues</t>
  </si>
  <si>
    <t>Pedro Angelo</t>
  </si>
  <si>
    <t>Anna Clara Moura</t>
  </si>
  <si>
    <t>Bruno Pavan</t>
  </si>
  <si>
    <t>Agatha Maria Frossard</t>
  </si>
  <si>
    <t>Ana Beatriz Morgado</t>
  </si>
  <si>
    <t>Bruna Azevedo</t>
  </si>
  <si>
    <t>IE UFRRJ</t>
  </si>
  <si>
    <t>Laís Delpupo</t>
  </si>
  <si>
    <t>Bruno de Assis</t>
  </si>
  <si>
    <t>Pedro Paim</t>
  </si>
  <si>
    <t>Legalização Luiz Cláudio</t>
  </si>
  <si>
    <t>Reforma + DI + IE + IH Gustavo</t>
  </si>
  <si>
    <t>Isabel Chapelin</t>
  </si>
  <si>
    <t>Leonardo Zhao</t>
  </si>
  <si>
    <t>Maria Fernanda Romilho</t>
  </si>
  <si>
    <t>Arthur Catelani</t>
  </si>
  <si>
    <t>Matheus Mafra</t>
  </si>
  <si>
    <t>Marcos Paulo Santos</t>
  </si>
  <si>
    <t>Reforma + DI + Acessibilidade FAPUR</t>
  </si>
  <si>
    <t>Luisa Fontoura</t>
  </si>
  <si>
    <t>Lívia Alves</t>
  </si>
  <si>
    <t xml:space="preserve">Camila Bruckmann </t>
  </si>
  <si>
    <t>DI Mina do Corte</t>
  </si>
  <si>
    <t>Desenvolvimento Respirare</t>
  </si>
  <si>
    <t>Cecilia Nogueira</t>
  </si>
  <si>
    <t>Mariana Fonceca</t>
  </si>
  <si>
    <t>Desenvolvimento AppMed</t>
  </si>
  <si>
    <t>Gabriel Santos</t>
  </si>
  <si>
    <t>Roberto Carlos</t>
  </si>
  <si>
    <t>Pedro Gomes</t>
  </si>
  <si>
    <t>Luís Roberto Gonçalves</t>
  </si>
  <si>
    <t>Giovanna</t>
  </si>
  <si>
    <t>Dimitri Vidigal</t>
  </si>
  <si>
    <t>Nicollas Lee</t>
  </si>
  <si>
    <t>Clara</t>
  </si>
  <si>
    <t>Ágata Moreira</t>
  </si>
  <si>
    <t>DeseEq Eletrônico Sensor de Porta</t>
  </si>
  <si>
    <t>Paulo André Cardoso</t>
  </si>
  <si>
    <t>Matheus Xavier</t>
  </si>
  <si>
    <t>Pedro Fonseca</t>
  </si>
  <si>
    <t>Guilherme Mendes</t>
  </si>
  <si>
    <t>Pedro Carneiro</t>
  </si>
  <si>
    <t>DesEq Mecânico + EP Violino</t>
  </si>
  <si>
    <t>Wallison Barroso</t>
  </si>
  <si>
    <t>Vitória Beatriz</t>
  </si>
  <si>
    <t>DesEq Eletrônico Bomba d'água</t>
  </si>
  <si>
    <t>Luiz Roberto Bastos</t>
  </si>
  <si>
    <t>Arthur Almeida</t>
  </si>
  <si>
    <t>Gilson Batista</t>
  </si>
  <si>
    <t>Eduardo Caldas</t>
  </si>
  <si>
    <t>Dyonisio dos Santos</t>
  </si>
  <si>
    <t>Elizeu dos Santos</t>
  </si>
  <si>
    <t>Heitor Alves</t>
  </si>
  <si>
    <t>Maria Marques</t>
  </si>
  <si>
    <t>Gabriel Pinheiro</t>
  </si>
  <si>
    <t>Eric Heubel</t>
  </si>
  <si>
    <t>Jonas Pimenta</t>
  </si>
  <si>
    <t>Guilherme Medina</t>
  </si>
  <si>
    <t>DesEq Eletrônico Medidor de Energia</t>
  </si>
  <si>
    <t>Igor Moniz</t>
  </si>
  <si>
    <t>Gustavo Coelho</t>
  </si>
  <si>
    <t>ER  Amostras de Rochas 2.0</t>
  </si>
  <si>
    <t>Rafael Gondim</t>
  </si>
  <si>
    <t>João Farah</t>
  </si>
  <si>
    <t>Matheus da Silva</t>
  </si>
  <si>
    <t>Luise Lopes</t>
  </si>
  <si>
    <t>Anna Júlia</t>
  </si>
  <si>
    <t>DesEq Eletrônico Boia</t>
  </si>
  <si>
    <t>Lucas Ninhaus</t>
  </si>
  <si>
    <t>MP + AC Segmedic</t>
  </si>
  <si>
    <t>PO/PF Vaquinha</t>
  </si>
  <si>
    <t>MPOP Solana 2.0</t>
  </si>
  <si>
    <t>Gabriela Correa</t>
  </si>
  <si>
    <t>PN Catete</t>
  </si>
  <si>
    <t>Allan Garcia Araujo</t>
  </si>
  <si>
    <t>Emmanuel Curvelo</t>
  </si>
  <si>
    <t>MP Colégio Wellington</t>
  </si>
  <si>
    <t>Bruno Gusmão Braga Pereira</t>
  </si>
  <si>
    <t>Paloma Viary Santana de Oliveira</t>
  </si>
  <si>
    <t>Rafael Souza Leal</t>
  </si>
  <si>
    <t>Enzo Marmello</t>
  </si>
  <si>
    <t>Davison</t>
  </si>
  <si>
    <t>Eduardo Meth</t>
  </si>
  <si>
    <t>PAULO DURVAL DA SILVA OLIVEIRA</t>
  </si>
  <si>
    <t>MC Maionese Temperada</t>
  </si>
  <si>
    <t xml:space="preserve">Pedro Marcos </t>
  </si>
  <si>
    <t>Maria Vitória Gomes</t>
  </si>
  <si>
    <t>Giovanna Gomes</t>
  </si>
  <si>
    <t>EVDFMC Produto Lácteo fermentado</t>
  </si>
  <si>
    <t>Karolina</t>
  </si>
  <si>
    <t xml:space="preserve">Maria Clara Vasconcelos </t>
  </si>
  <si>
    <t xml:space="preserve">Luiz Antônio Alves </t>
  </si>
  <si>
    <t>EVDFMC Protwins</t>
  </si>
  <si>
    <t>Anna Julia Santana Ferreira</t>
  </si>
  <si>
    <t>Luiza Gonzalez</t>
  </si>
  <si>
    <t xml:space="preserve">Joana Rei </t>
  </si>
  <si>
    <t>EVDFMC Sorvete Árabe</t>
  </si>
  <si>
    <t>Renato Saboia</t>
  </si>
  <si>
    <t>Competencia</t>
  </si>
  <si>
    <t>Descricao</t>
  </si>
  <si>
    <t>Disciplina</t>
  </si>
  <si>
    <t>Mantém constância e entrega com responsabilidade, mesmo sem supervisão.</t>
  </si>
  <si>
    <t>Organização</t>
  </si>
  <si>
    <t>Planeja e cumpre prazos, equilibrando prioridades com eficiência.</t>
  </si>
  <si>
    <t>Adaptabilidade</t>
  </si>
  <si>
    <t>Ajusta-se a diferentes contextos, desafios e mudanças, mantendo desempenho e equilíbrio emocional.</t>
  </si>
  <si>
    <t>Trabalho em equipe</t>
  </si>
  <si>
    <t>Colabora com o grupo, respeitando diferentes opiniões e funções.</t>
  </si>
  <si>
    <t>Influência e Mobilização</t>
  </si>
  <si>
    <t>Engaja pessoas, transmite energia e convence por meio de argumentos e exemplo.</t>
  </si>
  <si>
    <t>Comunicação Assertiva</t>
  </si>
  <si>
    <t>Expressa ideias com clareza, escuta ativamente e ajusta a comunicação ao contexto.</t>
  </si>
  <si>
    <t>Excelência Técnica</t>
  </si>
  <si>
    <t>Demonstra domínio técnico e aplica boas práticas nas entregas.</t>
  </si>
  <si>
    <t>Gestão de Riscos</t>
  </si>
  <si>
    <t>Identifica, analisa e propõe soluções para minimizar riscos nas entregas e decisões</t>
  </si>
  <si>
    <t>Delegar Tarefas</t>
  </si>
  <si>
    <t>Distribui atividades de forma estratégica, considerando perfil, carga e desenvolvimento do time.</t>
  </si>
  <si>
    <t>Gestão de Pessoas</t>
  </si>
  <si>
    <t>Desenvolve, orienta e acompanha o desempenho das pessoas sob sua liderança.</t>
  </si>
  <si>
    <t>Pensamento Estratégico e Holístico</t>
  </si>
  <si>
    <t>Enxerga o todo da organização, conectando ações do time e decisões operacionais aos objetivos e metas da organização.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</si>
</sst>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rme"/>
    </font>
    <font>
      <color theme="1"/>
      <name val="Arial"/>
    </font>
    <font>
      <color theme="1"/>
      <name val="Verdana"/>
    </font>
    <font>
      <b/>
      <color theme="1"/>
      <name val="Carme"/>
    </font>
    <font>
      <b/>
      <color theme="1"/>
      <name val="Arial"/>
    </font>
    <font>
      <color rgb="FFFFFFFF"/>
      <name val="Arial"/>
    </font>
    <font>
      <b/>
      <color rgb="FFFFFFFF"/>
      <name val="Carme"/>
    </font>
    <font>
      <b/>
      <color rgb="FFFFFFFF"/>
      <name val="Arial"/>
    </font>
    <font>
      <i/>
      <sz val="12.0"/>
      <color rgb="FF1F1F1F"/>
      <name val="Docs-Roboto"/>
    </font>
    <font>
      <sz val="11.0"/>
      <color rgb="FF000000"/>
      <name val="Arial"/>
    </font>
    <font>
      <sz val="11.0"/>
      <color theme="1"/>
      <name val="Arial"/>
    </font>
    <font>
      <i/>
      <sz val="12.0"/>
      <color rgb="FF1F1F1F"/>
      <name val="Roboto"/>
    </font>
    <font>
      <sz val="12.0"/>
      <color rgb="FF1F1F1F"/>
      <name val="Docs-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2F2F2"/>
        <bgColor rgb="FFF2F2F2"/>
      </patternFill>
    </fill>
  </fills>
  <borders count="3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vertical="bottom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0" fontId="1" numFmtId="0" xfId="0" applyFont="1"/>
    <xf borderId="1" fillId="3" fontId="2" numFmtId="0" xfId="0" applyAlignment="1" applyBorder="1" applyFill="1" applyFont="1">
      <alignment vertical="bottom"/>
    </xf>
    <xf borderId="0" fillId="3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1" fillId="3" fontId="5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4" fontId="7" numFmtId="0" xfId="0" applyAlignment="1" applyBorder="1" applyFill="1" applyFont="1">
      <alignment vertical="bottom"/>
    </xf>
    <xf borderId="1" fillId="4" fontId="8" numFmtId="0" xfId="0" applyAlignment="1" applyBorder="1" applyFont="1">
      <alignment vertical="bottom"/>
    </xf>
    <xf borderId="1" fillId="4" fontId="7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9" numFmtId="0" xfId="0" applyAlignment="1" applyBorder="1" applyFont="1">
      <alignment vertical="bottom"/>
    </xf>
    <xf borderId="1" fillId="3" fontId="5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5" fontId="10" numFmtId="0" xfId="0" applyAlignment="1" applyFill="1" applyFont="1">
      <alignment readingOrder="0"/>
    </xf>
    <xf borderId="2" fillId="0" fontId="11" numFmtId="0" xfId="0" applyAlignment="1" applyBorder="1" applyFont="1">
      <alignment readingOrder="0" shrinkToFit="0" wrapText="1"/>
    </xf>
    <xf borderId="2" fillId="0" fontId="12" numFmtId="0" xfId="0" applyAlignment="1" applyBorder="1" applyFont="1">
      <alignment shrinkToFit="0" vertical="bottom" wrapText="1"/>
    </xf>
    <xf borderId="0" fillId="5" fontId="13" numFmtId="0" xfId="0" applyAlignment="1" applyFont="1">
      <alignment readingOrder="0"/>
    </xf>
    <xf borderId="0" fillId="5" fontId="14" numFmtId="0" xfId="0" applyAlignment="1" applyFont="1">
      <alignment readingOrder="0"/>
    </xf>
    <xf borderId="0" fillId="5" fontId="1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6">
    <tableStyle count="2" pivot="0" name="Projetos e Equipes ACE-style">
      <tableStyleElement dxfId="1" type="firstRowStripe"/>
      <tableStyleElement dxfId="2" type="secondRowStripe"/>
    </tableStyle>
    <tableStyle count="2" pivot="0" name="Projetos e Equipes ACE-style 2">
      <tableStyleElement dxfId="1" type="firstRowStripe"/>
      <tableStyleElement dxfId="2" type="secondRowStripe"/>
    </tableStyle>
    <tableStyle count="2" pivot="0" name="Projetos e Equipes ACE-style 3">
      <tableStyleElement dxfId="2" type="firstRowStripe"/>
      <tableStyleElement dxfId="1" type="secondRowStripe"/>
    </tableStyle>
    <tableStyle count="2" pivot="0" name="Projetos e Equipes ACE-style 4">
      <tableStyleElement dxfId="1" type="firstRowStripe"/>
      <tableStyleElement dxfId="2" type="secondRowStripe"/>
    </tableStyle>
    <tableStyle count="2" pivot="0" name="Projetos e Equipes ACE-style 5">
      <tableStyleElement dxfId="1" type="firstRowStripe"/>
      <tableStyleElement dxfId="2" type="secondRowStripe"/>
    </tableStyle>
    <tableStyle count="2" pivot="0" name="Projetos e Equipes CCE-style">
      <tableStyleElement dxfId="1" type="firstRowStripe"/>
      <tableStyleElement dxfId="2" type="secondRowStripe"/>
    </tableStyle>
    <tableStyle count="2" pivot="0" name="Projetos e Equipes CCE-style 2">
      <tableStyleElement dxfId="1" type="firstRowStripe"/>
      <tableStyleElement dxfId="2" type="secondRowStripe"/>
    </tableStyle>
    <tableStyle count="2" pivot="0" name="Projetos e Equipes CCE-style 3">
      <tableStyleElement dxfId="1" type="firstRowStripe"/>
      <tableStyleElement dxfId="2" type="secondRowStripe"/>
    </tableStyle>
    <tableStyle count="2" pivot="0" name="Projetos e Equipes CCE-style 4">
      <tableStyleElement dxfId="1" type="firstRowStripe"/>
      <tableStyleElement dxfId="2" type="secondRowStripe"/>
    </tableStyle>
    <tableStyle count="2" pivot="0" name="Projetos e Equipes CCE-style 5">
      <tableStyleElement dxfId="2" type="firstRowStripe"/>
      <tableStyleElement dxfId="1" type="secondRowStripe"/>
    </tableStyle>
    <tableStyle count="2" pivot="0" name="Projetos e Equipes CCE-style 6">
      <tableStyleElement dxfId="1" type="firstRowStripe"/>
      <tableStyleElement dxfId="2" type="secondRowStripe"/>
    </tableStyle>
    <tableStyle count="2" pivot="0" name="Projetos e Equipes CCE-style 7">
      <tableStyleElement dxfId="1" type="firstRowStripe"/>
      <tableStyleElement dxfId="2" type="secondRowStripe"/>
    </tableStyle>
    <tableStyle count="2" pivot="0" name="Projetos e Equipes MNP-style">
      <tableStyleElement dxfId="1" type="firstRowStripe"/>
      <tableStyleElement dxfId="2" type="secondRowStripe"/>
    </tableStyle>
    <tableStyle count="2" pivot="0" name="Projetos e Equipes MNP-style 2">
      <tableStyleElement dxfId="2" type="firstRowStripe"/>
      <tableStyleElement dxfId="1" type="secondRowStripe"/>
    </tableStyle>
    <tableStyle count="2" pivot="0" name="Projetos e Equipes MNP-style 3">
      <tableStyleElement dxfId="1" type="firstRowStripe"/>
      <tableStyleElement dxfId="2" type="secondRowStripe"/>
    </tableStyle>
    <tableStyle count="2" pivot="0" name="Projetos e Equipes MNP-style 4">
      <tableStyleElement dxfId="1" type="firstRowStripe"/>
      <tableStyleElement dxfId="2" type="secondRowStripe"/>
    </tableStyle>
    <tableStyle count="2" pivot="0" name="Projetos e Equipes PRO-style">
      <tableStyleElement dxfId="2" type="firstRowStripe"/>
      <tableStyleElement dxfId="1" type="secondRowStripe"/>
    </tableStyle>
    <tableStyle count="2" pivot="0" name="Projetos e Equipes PRO-style 2">
      <tableStyleElement dxfId="1" type="firstRowStripe"/>
      <tableStyleElement dxfId="2" type="secondRowStripe"/>
    </tableStyle>
    <tableStyle count="2" pivot="0" name="Projetos e Equipes PRO-style 3">
      <tableStyleElement dxfId="1" type="firstRowStripe"/>
      <tableStyleElement dxfId="2" type="secondRowStripe"/>
    </tableStyle>
    <tableStyle count="2" pivot="0" name="Projetos e Equipes QAB-style">
      <tableStyleElement dxfId="1" type="firstRowStripe"/>
      <tableStyleElement dxfId="2" type="secondRowStripe"/>
    </tableStyle>
    <tableStyle count="2" pivot="0" name="Projetos e Equipes QAB-style 2">
      <tableStyleElement dxfId="1" type="firstRowStripe"/>
      <tableStyleElement dxfId="2" type="secondRowStripe"/>
    </tableStyle>
    <tableStyle count="2" pivot="0" name="Cópia de Projetos e Equipes-style">
      <tableStyleElement dxfId="1" type="firstRowStripe"/>
      <tableStyleElement dxfId="2" type="secondRowStripe"/>
    </tableStyle>
    <tableStyle count="2" pivot="0" name="Cópia de Projetos e Equipes-style 2">
      <tableStyleElement dxfId="1" type="firstRowStripe"/>
      <tableStyleElement dxfId="2" type="secondRowStripe"/>
    </tableStyle>
    <tableStyle count="2" pivot="0" name="Cópia de Projetos e Equipes-style 3">
      <tableStyleElement dxfId="2" type="firstRowStripe"/>
      <tableStyleElement dxfId="1" type="secondRowStripe"/>
    </tableStyle>
    <tableStyle count="2" pivot="0" name="Cópia de Projetos e Equipes-style 4">
      <tableStyleElement dxfId="1" type="firstRowStripe"/>
      <tableStyleElement dxfId="2" type="secondRowStripe"/>
    </tableStyle>
    <tableStyle count="2" pivot="0" name="Cópia de Projetos e Equipes-style 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5" displayName="Table_1" name="Table_1" id="1">
  <tableColumns count="3">
    <tableColumn name="Column1" id="1"/>
    <tableColumn name="Column2" id="2"/>
    <tableColumn name="Column3" id="3"/>
  </tableColumns>
  <tableStyleInfo name="Projetos e Equipes ACE-style" showColumnStripes="0" showFirstColumn="1" showLastColumn="1" showRowStripes="1"/>
</table>
</file>

<file path=xl/tables/table2.xml><?xml version="1.0" encoding="utf-8"?>
<table xmlns="http://schemas.openxmlformats.org/spreadsheetml/2006/main" headerRowCount="0" ref="D2:I5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rojetos e Equipes A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7:C27" displayName="Table_3" name="Table_3" id="3">
  <tableColumns count="3">
    <tableColumn name="Column1" id="1"/>
    <tableColumn name="Column2" id="2"/>
    <tableColumn name="Column3" id="3"/>
  </tableColumns>
  <tableStyleInfo name="Projetos e Equipes ACE-style 3" showColumnStripes="0" showFirstColumn="1" showLastColumn="1" showRowStripes="1"/>
</table>
</file>

<file path=xl/tables/table4.xml><?xml version="1.0" encoding="utf-8"?>
<table xmlns="http://schemas.openxmlformats.org/spreadsheetml/2006/main" headerRowCount="0" ref="I27" displayName="Table_4" name="Table_4" id="4">
  <tableColumns count="1">
    <tableColumn name="Column1" id="1"/>
  </tableColumns>
  <tableStyleInfo name="Projetos e Equipes ACE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8:C34" displayName="Table_5" name="Table_5" id="5">
  <tableColumns count="3">
    <tableColumn name="Column1" id="1"/>
    <tableColumn name="Column2" id="2"/>
    <tableColumn name="Column3" id="3"/>
  </tableColumns>
  <tableStyleInfo name="Projetos e Equipes ACE-style 5" showColumnStripes="0" showFirstColumn="1" showLastColumn="1" showRowStripes="1"/>
</table>
</file>

<file path=xl/tables/table6.xml><?xml version="1.0" encoding="utf-8"?>
<table xmlns="http://schemas.openxmlformats.org/spreadsheetml/2006/main" headerRowCount="0" ref="A6" displayName="Table_6" name="Table_6" id="6">
  <tableColumns count="1">
    <tableColumn name="Column1" id="1"/>
  </tableColumns>
  <tableStyleInfo name="Projetos e Equipes CCE-style" showColumnStripes="0" showFirstColumn="1" showLastColumn="1" showRowStripes="1"/>
</table>
</file>

<file path=xl/tables/table7.xml><?xml version="1.0" encoding="utf-8"?>
<table xmlns="http://schemas.openxmlformats.org/spreadsheetml/2006/main" headerRowCount="0" ref="C6:F6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Projetos e Equipes CCE-style 2" showColumnStripes="0" showFirstColumn="1" showLastColumn="1" showRowStripes="1"/>
</table>
</file>

<file path=xl/tables/table8.xml><?xml version="1.0" encoding="utf-8"?>
<table xmlns="http://schemas.openxmlformats.org/spreadsheetml/2006/main" headerRowCount="0" ref="A7" displayName="Table_8" name="Table_8" id="8">
  <tableColumns count="1">
    <tableColumn name="Column1" id="1"/>
  </tableColumns>
  <tableStyleInfo name="Projetos e Equipes CCE-style 3" showColumnStripes="0" showFirstColumn="1" showLastColumn="1" showRowStripes="1"/>
</table>
</file>

<file path=xl/tables/table9.xml><?xml version="1.0" encoding="utf-8"?>
<table xmlns="http://schemas.openxmlformats.org/spreadsheetml/2006/main" headerRowCount="0" ref="C7:F7" displayName="Table_9" name="Table_9" id="9">
  <tableColumns count="4">
    <tableColumn name="Column1" id="1"/>
    <tableColumn name="Column2" id="2"/>
    <tableColumn name="Column3" id="3"/>
    <tableColumn name="Column4" id="4"/>
  </tableColumns>
  <tableStyleInfo name="Projetos e Equipes CCE-style 4" showColumnStripes="0" showFirstColumn="1" showLastColumn="1" showRowStripes="1"/>
</table>
</file>

<file path=xl/tables/table10.xml><?xml version="1.0" encoding="utf-8"?>
<table xmlns="http://schemas.openxmlformats.org/spreadsheetml/2006/main" headerRowCount="0" ref="A15:C15" displayName="Table_10" name="Table_10" id="10">
  <tableColumns count="3">
    <tableColumn name="Column1" id="1"/>
    <tableColumn name="Column2" id="2"/>
    <tableColumn name="Column3" id="3"/>
  </tableColumns>
  <tableStyleInfo name="Projetos e Equipes CCE-style 5" showColumnStripes="0" showFirstColumn="1" showLastColumn="1" showRowStripes="1"/>
</table>
</file>

<file path=xl/tables/table11.xml><?xml version="1.0" encoding="utf-8"?>
<table xmlns="http://schemas.openxmlformats.org/spreadsheetml/2006/main" headerRowCount="0" ref="I15" displayName="Table_11" name="Table_11" id="11">
  <tableColumns count="1">
    <tableColumn name="Column1" id="1"/>
  </tableColumns>
  <tableStyleInfo name="Projetos e Equipes CCE-style 6" showColumnStripes="0" showFirstColumn="1" showLastColumn="1" showRowStripes="1"/>
</table>
</file>

<file path=xl/tables/table12.xml><?xml version="1.0" encoding="utf-8"?>
<table xmlns="http://schemas.openxmlformats.org/spreadsheetml/2006/main" headerRowCount="0" ref="A16:C22" displayName="Table_12" name="Table_12" id="12">
  <tableColumns count="3">
    <tableColumn name="Column1" id="1"/>
    <tableColumn name="Column2" id="2"/>
    <tableColumn name="Column3" id="3"/>
  </tableColumns>
  <tableStyleInfo name="Projetos e Equipes CCE-style 7" showColumnStripes="0" showFirstColumn="1" showLastColumn="1" showRowStripes="1"/>
</table>
</file>

<file path=xl/tables/table13.xml><?xml version="1.0" encoding="utf-8"?>
<table xmlns="http://schemas.openxmlformats.org/spreadsheetml/2006/main" headerRowCount="0" ref="A7:H9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rojetos e Equipes MNP-style" showColumnStripes="0" showFirstColumn="1" showLastColumn="1" showRowStripes="1"/>
</table>
</file>

<file path=xl/tables/table14.xml><?xml version="1.0" encoding="utf-8"?>
<table xmlns="http://schemas.openxmlformats.org/spreadsheetml/2006/main" headerRowCount="0" ref="A13:C13" displayName="Table_14" name="Table_14" id="14">
  <tableColumns count="3">
    <tableColumn name="Column1" id="1"/>
    <tableColumn name="Column2" id="2"/>
    <tableColumn name="Column3" id="3"/>
  </tableColumns>
  <tableStyleInfo name="Projetos e Equipes MNP-style 2" showColumnStripes="0" showFirstColumn="1" showLastColumn="1" showRowStripes="1"/>
</table>
</file>

<file path=xl/tables/table15.xml><?xml version="1.0" encoding="utf-8"?>
<table xmlns="http://schemas.openxmlformats.org/spreadsheetml/2006/main" headerRowCount="0" ref="I13" displayName="Table_15" name="Table_15" id="15">
  <tableColumns count="1">
    <tableColumn name="Column1" id="1"/>
  </tableColumns>
  <tableStyleInfo name="Projetos e Equipes MNP-style 3" showColumnStripes="0" showFirstColumn="1" showLastColumn="1" showRowStripes="1"/>
</table>
</file>

<file path=xl/tables/table16.xml><?xml version="1.0" encoding="utf-8"?>
<table xmlns="http://schemas.openxmlformats.org/spreadsheetml/2006/main" headerRowCount="0" ref="A14:C20" displayName="Table_16" name="Table_16" id="16">
  <tableColumns count="3">
    <tableColumn name="Column1" id="1"/>
    <tableColumn name="Column2" id="2"/>
    <tableColumn name="Column3" id="3"/>
  </tableColumns>
  <tableStyleInfo name="Projetos e Equipes MNP-style 4" showColumnStripes="0" showFirstColumn="1" showLastColumn="1" showRowStripes="1"/>
</table>
</file>

<file path=xl/tables/table17.xml><?xml version="1.0" encoding="utf-8"?>
<table xmlns="http://schemas.openxmlformats.org/spreadsheetml/2006/main" headerRowCount="0" ref="A3:C3" displayName="Table_17" name="Table_17" id="17">
  <tableColumns count="3">
    <tableColumn name="Column1" id="1"/>
    <tableColumn name="Column2" id="2"/>
    <tableColumn name="Column3" id="3"/>
  </tableColumns>
  <tableStyleInfo name="Projetos e Equipes PRO-style" showColumnStripes="0" showFirstColumn="1" showLastColumn="1" showRowStripes="1"/>
</table>
</file>

<file path=xl/tables/table18.xml><?xml version="1.0" encoding="utf-8"?>
<table xmlns="http://schemas.openxmlformats.org/spreadsheetml/2006/main" headerRowCount="0" ref="I3" displayName="Table_18" name="Table_18" id="18">
  <tableColumns count="1">
    <tableColumn name="Column1" id="1"/>
  </tableColumns>
  <tableStyleInfo name="Projetos e Equipes PRO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4:C11" displayName="Table_19" name="Table_19" id="19">
  <tableColumns count="3">
    <tableColumn name="Column1" id="1"/>
    <tableColumn name="Column2" id="2"/>
    <tableColumn name="Column3" id="3"/>
  </tableColumns>
  <tableStyleInfo name="Projetos e Equipes PRO-style 3" showColumnStripes="0" showFirstColumn="1" showLastColumn="1" showRowStripes="1"/>
</table>
</file>

<file path=xl/tables/table20.xml><?xml version="1.0" encoding="utf-8"?>
<table xmlns="http://schemas.openxmlformats.org/spreadsheetml/2006/main" headerRowCount="0" ref="A2:C2" displayName="Table_20" name="Table_20" id="20">
  <tableColumns count="3">
    <tableColumn name="Column1" id="1"/>
    <tableColumn name="Column2" id="2"/>
    <tableColumn name="Column3" id="3"/>
  </tableColumns>
  <tableStyleInfo name="Projetos e Equipes QAB-style" showColumnStripes="0" showFirstColumn="1" showLastColumn="1" showRowStripes="1"/>
</table>
</file>

<file path=xl/tables/table21.xml><?xml version="1.0" encoding="utf-8"?>
<table xmlns="http://schemas.openxmlformats.org/spreadsheetml/2006/main" headerRowCount="0" ref="A3:A5" displayName="Table_21" name="Table_21" id="21">
  <tableColumns count="1">
    <tableColumn name="Column1" id="1"/>
  </tableColumns>
  <tableStyleInfo name="Projetos e Equipes QAB-style 2" showColumnStripes="0" showFirstColumn="1" showLastColumn="1" showRowStripes="1"/>
</table>
</file>

<file path=xl/tables/table22.xml><?xml version="1.0" encoding="utf-8"?>
<table xmlns="http://schemas.openxmlformats.org/spreadsheetml/2006/main" headerRowCount="0" ref="A2:C5" displayName="Table_22" name="Table_22" id="22">
  <tableColumns count="3">
    <tableColumn name="Column1" id="1"/>
    <tableColumn name="Column2" id="2"/>
    <tableColumn name="Column3" id="3"/>
  </tableColumns>
  <tableStyleInfo name="Cópia de Projetos e Equipes-style" showColumnStripes="0" showFirstColumn="1" showLastColumn="1" showRowStripes="1"/>
</table>
</file>

<file path=xl/tables/table23.xml><?xml version="1.0" encoding="utf-8"?>
<table xmlns="http://schemas.openxmlformats.org/spreadsheetml/2006/main" headerRowCount="0" ref="D2:I5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ópia de Projetos e Equipes-style 2" showColumnStripes="0" showFirstColumn="1" showLastColumn="1" showRowStripes="1"/>
</table>
</file>

<file path=xl/tables/table24.xml><?xml version="1.0" encoding="utf-8"?>
<table xmlns="http://schemas.openxmlformats.org/spreadsheetml/2006/main" headerRowCount="0" ref="A27:C27" displayName="Table_24" name="Table_24" id="24">
  <tableColumns count="3">
    <tableColumn name="Column1" id="1"/>
    <tableColumn name="Column2" id="2"/>
    <tableColumn name="Column3" id="3"/>
  </tableColumns>
  <tableStyleInfo name="Cópia de Projetos e Equipes-style 3" showColumnStripes="0" showFirstColumn="1" showLastColumn="1" showRowStripes="1"/>
</table>
</file>

<file path=xl/tables/table25.xml><?xml version="1.0" encoding="utf-8"?>
<table xmlns="http://schemas.openxmlformats.org/spreadsheetml/2006/main" headerRowCount="0" ref="I27" displayName="Table_25" name="Table_25" id="25">
  <tableColumns count="1">
    <tableColumn name="Column1" id="1"/>
  </tableColumns>
  <tableStyleInfo name="Cópia de Projetos e Equipes-style 4" showColumnStripes="0" showFirstColumn="1" showLastColumn="1" showRowStripes="1"/>
</table>
</file>

<file path=xl/tables/table26.xml><?xml version="1.0" encoding="utf-8"?>
<table xmlns="http://schemas.openxmlformats.org/spreadsheetml/2006/main" headerRowCount="0" ref="A28:C34" displayName="Table_26" name="Table_26" id="26">
  <tableColumns count="3">
    <tableColumn name="Column1" id="1"/>
    <tableColumn name="Column2" id="2"/>
    <tableColumn name="Column3" id="3"/>
  </tableColumns>
  <tableStyleInfo name="Cópia de Projetos e Equipe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13" Type="http://schemas.openxmlformats.org/officeDocument/2006/relationships/table" Target="../tables/table10.xml"/><Relationship Id="rId12" Type="http://schemas.openxmlformats.org/officeDocument/2006/relationships/table" Target="../tables/table9.xml"/><Relationship Id="rId9" Type="http://schemas.openxmlformats.org/officeDocument/2006/relationships/table" Target="../tables/table6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tr">
        <f t="shared" ref="B2:B6" si="1">TEXTJOIN(",", TRUE, C2:I2)</f>
        <v>Pedro de Souza Angelo,Anna Clara Moura Reis,Felipe Moreira de Andrade Soares,Agatha Maria de Araújo Frossard Ferreira</v>
      </c>
      <c r="C2" s="4" t="s">
        <v>5</v>
      </c>
      <c r="D2" s="4" t="s">
        <v>6</v>
      </c>
      <c r="E2" s="4" t="s">
        <v>7</v>
      </c>
      <c r="F2" s="4" t="s">
        <v>8</v>
      </c>
      <c r="G2" s="5"/>
      <c r="H2" s="5"/>
      <c r="I2" s="5"/>
      <c r="K2" s="6" t="str">
        <f>IFERROR(__xludf.DUMMYFUNCTION("SORT(UNIQUE(FLATTEN(C2:I999)))"),"Agatha Maria de Araújo Frossard Ferreira")</f>
        <v>Agatha Maria de Araújo Frossard Ferreira</v>
      </c>
    </row>
    <row r="3">
      <c r="A3" s="7" t="s">
        <v>9</v>
      </c>
      <c r="B3" s="8" t="str">
        <f t="shared" si="1"/>
        <v>Bruna Luísa Azevedo Marques Rocha,Felipe Moreira de Andrade Soares,Agatha Maria de Araújo Frossard Ferreira</v>
      </c>
      <c r="C3" s="8" t="s">
        <v>10</v>
      </c>
      <c r="D3" s="8" t="s">
        <v>7</v>
      </c>
      <c r="E3" s="8" t="s">
        <v>8</v>
      </c>
      <c r="F3" s="9"/>
      <c r="G3" s="9"/>
      <c r="H3" s="9"/>
      <c r="I3" s="9"/>
      <c r="K3" s="6" t="str">
        <f>IFERROR(__xludf.DUMMYFUNCTION("""COMPUTED_VALUE"""),"Anna Clara Moura Reis")</f>
        <v>Anna Clara Moura Reis</v>
      </c>
    </row>
    <row r="4">
      <c r="A4" s="10" t="s">
        <v>11</v>
      </c>
      <c r="B4" s="11" t="str">
        <f t="shared" si="1"/>
        <v>Pedro de Souza Angelo,Marcos Paulo Santos da Silva,Leonardo Zhao MIngtong,Maria Fernanda Jame Romilho,Arthur Catelani Gomes da Silva</v>
      </c>
      <c r="C4" s="11" t="s">
        <v>5</v>
      </c>
      <c r="D4" s="11" t="s">
        <v>12</v>
      </c>
      <c r="E4" s="11" t="s">
        <v>13</v>
      </c>
      <c r="F4" s="11" t="s">
        <v>14</v>
      </c>
      <c r="G4" s="11" t="s">
        <v>15</v>
      </c>
      <c r="H4" s="12"/>
      <c r="I4" s="12"/>
      <c r="K4" s="6" t="str">
        <f>IFERROR(__xludf.DUMMYFUNCTION("""COMPUTED_VALUE"""),"Arthur Catelani Gomes da Silva")</f>
        <v>Arthur Catelani Gomes da Silva</v>
      </c>
    </row>
    <row r="5">
      <c r="A5" s="13" t="s">
        <v>16</v>
      </c>
      <c r="B5" s="11" t="str">
        <f t="shared" si="1"/>
        <v>Leonardo Zhao MIngtong,Pedro de Souza Angelo,Bruna Luísa Azevedo Marques Rocha,Lívia Alves da Costa,Camila Bruckmann dos Santos</v>
      </c>
      <c r="C5" s="11"/>
      <c r="D5" s="11" t="s">
        <v>13</v>
      </c>
      <c r="E5" s="11" t="s">
        <v>5</v>
      </c>
      <c r="F5" s="11" t="s">
        <v>10</v>
      </c>
      <c r="G5" s="11" t="s">
        <v>17</v>
      </c>
      <c r="H5" s="11" t="s">
        <v>18</v>
      </c>
      <c r="I5" s="12"/>
      <c r="K5" s="6" t="str">
        <f>IFERROR(__xludf.DUMMYFUNCTION("""COMPUTED_VALUE"""),"Bruna Luísa Azevedo Marques Rocha")</f>
        <v>Bruna Luísa Azevedo Marques Rocha</v>
      </c>
    </row>
    <row r="6">
      <c r="A6" s="10" t="s">
        <v>19</v>
      </c>
      <c r="B6" s="11" t="str">
        <f t="shared" si="1"/>
        <v>Pedro de Souza Angelo,Maria Fernanda Jame Romilho,Lívia Alves da Costa</v>
      </c>
      <c r="C6" s="11" t="s">
        <v>5</v>
      </c>
      <c r="D6" s="11" t="s">
        <v>14</v>
      </c>
      <c r="E6" s="11" t="s">
        <v>17</v>
      </c>
      <c r="F6" s="12"/>
      <c r="G6" s="12"/>
      <c r="H6" s="12"/>
      <c r="I6" s="12"/>
      <c r="K6" s="6" t="str">
        <f>IFERROR(__xludf.DUMMYFUNCTION("""COMPUTED_VALUE"""),"Camila Bruckmann dos Santos")</f>
        <v>Camila Bruckmann dos Santos</v>
      </c>
    </row>
    <row r="7">
      <c r="A7" s="13"/>
      <c r="B7" s="13"/>
      <c r="C7" s="13"/>
      <c r="D7" s="13"/>
      <c r="E7" s="13"/>
      <c r="F7" s="13"/>
      <c r="G7" s="13"/>
      <c r="H7" s="13"/>
      <c r="I7" s="13"/>
      <c r="K7" s="6" t="str">
        <f>IFERROR(__xludf.DUMMYFUNCTION("""COMPUTED_VALUE"""),"Felipe Moreira de Andrade Soares")</f>
        <v>Felipe Moreira de Andrade Soares</v>
      </c>
    </row>
    <row r="8">
      <c r="A8" s="13"/>
      <c r="B8" s="13"/>
      <c r="C8" s="13"/>
      <c r="D8" s="13"/>
      <c r="E8" s="13"/>
      <c r="F8" s="13"/>
      <c r="G8" s="13"/>
      <c r="H8" s="13"/>
      <c r="I8" s="13"/>
      <c r="K8" s="6" t="str">
        <f>IFERROR(__xludf.DUMMYFUNCTION("""COMPUTED_VALUE"""),"Leonardo Zhao MIngtong")</f>
        <v>Leonardo Zhao MIngtong</v>
      </c>
    </row>
    <row r="9">
      <c r="A9" s="13"/>
      <c r="B9" s="13"/>
      <c r="C9" s="13"/>
      <c r="D9" s="13"/>
      <c r="E9" s="13"/>
      <c r="F9" s="13"/>
      <c r="G9" s="13"/>
      <c r="H9" s="13"/>
      <c r="I9" s="13"/>
      <c r="K9" s="6" t="str">
        <f>IFERROR(__xludf.DUMMYFUNCTION("""COMPUTED_VALUE"""),"Lívia Alves da Costa")</f>
        <v>Lívia Alves da Costa</v>
      </c>
    </row>
    <row r="10">
      <c r="A10" s="13"/>
      <c r="B10" s="13"/>
      <c r="C10" s="13"/>
      <c r="D10" s="13"/>
      <c r="E10" s="13"/>
      <c r="F10" s="13"/>
      <c r="G10" s="13"/>
      <c r="H10" s="13"/>
      <c r="I10" s="13"/>
      <c r="K10" s="6" t="str">
        <f>IFERROR(__xludf.DUMMYFUNCTION("""COMPUTED_VALUE"""),"Marcos Paulo Santos da Silva")</f>
        <v>Marcos Paulo Santos da Silva</v>
      </c>
    </row>
    <row r="11">
      <c r="K11" s="6" t="str">
        <f>IFERROR(__xludf.DUMMYFUNCTION("""COMPUTED_VALUE"""),"Maria Fernanda Jame Romilho")</f>
        <v>Maria Fernanda Jame Romilho</v>
      </c>
    </row>
    <row r="12">
      <c r="K12" s="6" t="str">
        <f>IFERROR(__xludf.DUMMYFUNCTION("""COMPUTED_VALUE"""),"Pedro de Souza Angelo")</f>
        <v>Pedro de Souza Angelo</v>
      </c>
    </row>
    <row r="13">
      <c r="K13" s="6"/>
    </row>
  </sheetData>
  <mergeCells count="1">
    <mergeCell ref="D1:I1"/>
  </mergeCells>
  <dataValidations>
    <dataValidation type="list" allowBlank="1" showErrorMessage="1" sqref="C2:I6">
      <formula1>#REF!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0" t="s">
        <v>20</v>
      </c>
      <c r="B2" s="11" t="str">
        <f t="shared" ref="B2:B8" si="1">TEXTJOIN(",", TRUE, C2:I2)</f>
        <v>Gabriel Santos Pereira,Antonio Magalhães Figueira,Pedro Henrique Gomes de Azevedo da Silva</v>
      </c>
      <c r="C2" s="11" t="s">
        <v>21</v>
      </c>
      <c r="D2" s="11" t="s">
        <v>22</v>
      </c>
      <c r="E2" s="11" t="s">
        <v>23</v>
      </c>
      <c r="F2" s="14"/>
      <c r="G2" s="11"/>
      <c r="H2" s="11"/>
      <c r="I2" s="11"/>
      <c r="K2" s="6" t="str">
        <f>IFERROR(__xludf.DUMMYFUNCTION("SORT(UNIQUE(FLATTEN(C2:I987)))"),"Antonio Magalhães Figueira")</f>
        <v>Antonio Magalhães Figueira</v>
      </c>
    </row>
    <row r="3">
      <c r="A3" s="10" t="s">
        <v>24</v>
      </c>
      <c r="B3" s="11" t="str">
        <f t="shared" si="1"/>
        <v>Gabriel Santos Pereira,Eduardo Pereira Viana Filho,Nicollas Viellas Lee,Pedro Pimentel Alves Vieira,Clara Guedes Fernandes,Isabella Maria Ribeiro Ferreira</v>
      </c>
      <c r="C3" s="11" t="s">
        <v>21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/>
      <c r="K3" s="6" t="str">
        <f>IFERROR(__xludf.DUMMYFUNCTION("""COMPUTED_VALUE"""),"Beatriz Rodrigues Humberto Vieira")</f>
        <v>Beatriz Rodrigues Humberto Vieira</v>
      </c>
    </row>
    <row r="4">
      <c r="A4" s="10" t="s">
        <v>30</v>
      </c>
      <c r="B4" s="11" t="str">
        <f t="shared" si="1"/>
        <v>Nicollas Viellas Lee,Matheus Chrysostomo de Siqueira</v>
      </c>
      <c r="C4" s="11"/>
      <c r="D4" s="11" t="s">
        <v>26</v>
      </c>
      <c r="E4" s="11" t="s">
        <v>31</v>
      </c>
      <c r="F4" s="11"/>
      <c r="G4" s="11"/>
      <c r="H4" s="11"/>
      <c r="I4" s="11"/>
      <c r="K4" s="6" t="str">
        <f>IFERROR(__xludf.DUMMYFUNCTION("""COMPUTED_VALUE"""),"Clara Guedes Fernandes")</f>
        <v>Clara Guedes Fernandes</v>
      </c>
    </row>
    <row r="5">
      <c r="A5" s="10" t="s">
        <v>32</v>
      </c>
      <c r="B5" s="11" t="str">
        <f t="shared" si="1"/>
        <v>Clara Guedes Fernandes,Giovanna Maciel Marques de Barros ,Beatriz Rodrigues Humberto Vieira,Pedro Henrique Gomes de Azevedo da Silva,Victor Souza Cruz,Matheus Chrysostomo de Siqueira</v>
      </c>
      <c r="C5" s="14" t="s">
        <v>28</v>
      </c>
      <c r="D5" s="11" t="s">
        <v>33</v>
      </c>
      <c r="E5" s="11" t="s">
        <v>34</v>
      </c>
      <c r="F5" s="11" t="s">
        <v>23</v>
      </c>
      <c r="G5" s="11" t="s">
        <v>35</v>
      </c>
      <c r="H5" s="11" t="s">
        <v>31</v>
      </c>
      <c r="I5" s="12"/>
      <c r="K5" s="6" t="str">
        <f>IFERROR(__xludf.DUMMYFUNCTION("""COMPUTED_VALUE"""),"Eduardo Pereira Viana Filho")</f>
        <v>Eduardo Pereira Viana Filho</v>
      </c>
    </row>
    <row r="6">
      <c r="A6" s="3" t="s">
        <v>36</v>
      </c>
      <c r="B6" s="11" t="str">
        <f t="shared" si="1"/>
        <v>Nicollas Viellas Lee,Gabriel dos Santos Percu Saldanga,Rodrigo Polly Anthés</v>
      </c>
      <c r="C6" s="4" t="s">
        <v>26</v>
      </c>
      <c r="D6" s="15" t="s">
        <v>37</v>
      </c>
      <c r="E6" s="4" t="s">
        <v>38</v>
      </c>
      <c r="F6" s="4"/>
      <c r="G6" s="11"/>
      <c r="H6" s="11"/>
      <c r="I6" s="11"/>
      <c r="K6" s="6" t="str">
        <f>IFERROR(__xludf.DUMMYFUNCTION("""COMPUTED_VALUE"""),"Gabriel dos Santos Percu Saldanga")</f>
        <v>Gabriel dos Santos Percu Saldanga</v>
      </c>
    </row>
    <row r="7">
      <c r="A7" s="10" t="s">
        <v>39</v>
      </c>
      <c r="B7" s="11" t="str">
        <f t="shared" si="1"/>
        <v>Gabriel Santos Pereira,Antonio Magalhães Figueira,Pedro Pimentel Alves Vieira,Isabella Maria Ribeiro Ferreira</v>
      </c>
      <c r="C7" s="11" t="s">
        <v>21</v>
      </c>
      <c r="D7" s="11" t="s">
        <v>22</v>
      </c>
      <c r="E7" s="11" t="s">
        <v>27</v>
      </c>
      <c r="F7" s="11" t="s">
        <v>29</v>
      </c>
      <c r="G7" s="11"/>
      <c r="H7" s="11"/>
      <c r="I7" s="11"/>
      <c r="K7" s="6" t="str">
        <f>IFERROR(__xludf.DUMMYFUNCTION("""COMPUTED_VALUE"""),"Gabriel Santos Pereira")</f>
        <v>Gabriel Santos Pereira</v>
      </c>
    </row>
    <row r="8">
      <c r="A8" s="10" t="s">
        <v>40</v>
      </c>
      <c r="B8" s="11" t="str">
        <f t="shared" si="1"/>
        <v>Gabriel Santos Pereira</v>
      </c>
      <c r="C8" s="11"/>
      <c r="D8" s="11" t="s">
        <v>21</v>
      </c>
      <c r="E8" s="11"/>
      <c r="F8" s="11"/>
      <c r="G8" s="11"/>
      <c r="H8" s="11"/>
      <c r="I8" s="11"/>
      <c r="K8" s="6" t="str">
        <f>IFERROR(__xludf.DUMMYFUNCTION("""COMPUTED_VALUE"""),"Giovanna Maciel Marques de Barros ")</f>
        <v>Giovanna Maciel Marques de Barros </v>
      </c>
    </row>
    <row r="9">
      <c r="A9" s="10"/>
      <c r="B9" s="10"/>
      <c r="C9" s="10"/>
      <c r="D9" s="10"/>
      <c r="E9" s="10"/>
      <c r="F9" s="10"/>
      <c r="K9" s="6" t="str">
        <f>IFERROR(__xludf.DUMMYFUNCTION("""COMPUTED_VALUE"""),"Isabella Maria Ribeiro Ferreira")</f>
        <v>Isabella Maria Ribeiro Ferreira</v>
      </c>
    </row>
    <row r="10">
      <c r="K10" s="6" t="str">
        <f>IFERROR(__xludf.DUMMYFUNCTION("""COMPUTED_VALUE"""),"Matheus Chrysostomo de Siqueira")</f>
        <v>Matheus Chrysostomo de Siqueira</v>
      </c>
    </row>
    <row r="11">
      <c r="K11" s="6" t="str">
        <f>IFERROR(__xludf.DUMMYFUNCTION("""COMPUTED_VALUE"""),"Nicollas Viellas Lee")</f>
        <v>Nicollas Viellas Lee</v>
      </c>
    </row>
    <row r="12">
      <c r="K12" s="6" t="str">
        <f>IFERROR(__xludf.DUMMYFUNCTION("""COMPUTED_VALUE"""),"Pedro Henrique Gomes de Azevedo da Silva")</f>
        <v>Pedro Henrique Gomes de Azevedo da Silva</v>
      </c>
    </row>
    <row r="13">
      <c r="K13" s="6" t="str">
        <f>IFERROR(__xludf.DUMMYFUNCTION("""COMPUTED_VALUE"""),"Pedro Pimentel Alves Vieira")</f>
        <v>Pedro Pimentel Alves Vieira</v>
      </c>
    </row>
    <row r="14">
      <c r="K14" s="6" t="str">
        <f>IFERROR(__xludf.DUMMYFUNCTION("""COMPUTED_VALUE"""),"Rodrigo Polly Anthés")</f>
        <v>Rodrigo Polly Anthés</v>
      </c>
    </row>
    <row r="15">
      <c r="K15" s="6" t="str">
        <f>IFERROR(__xludf.DUMMYFUNCTION("""COMPUTED_VALUE"""),"Victor Souza Cruz")</f>
        <v>Victor Souza Cruz</v>
      </c>
    </row>
    <row r="16">
      <c r="K16" s="6"/>
    </row>
  </sheetData>
  <mergeCells count="1">
    <mergeCell ref="D1:I1"/>
  </mergeCells>
  <dataValidations>
    <dataValidation type="list" allowBlank="1" showErrorMessage="1" sqref="C2:I6">
      <formula1>#REF!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0" t="s">
        <v>41</v>
      </c>
      <c r="B2" s="11" t="str">
        <f t="shared" ref="B2:B9" si="1">TEXTJOIN(",", TRUE, C2:I2)</f>
        <v>Eduardo Morais da Silva Caldas,Pedro Carneiro Cavalcante,Dionysio dos Santos Rangel,Heitor Alves Macena Mendes,Maria Eduarda Marques Araújo,Gabriel Pinheiro Wriedt</v>
      </c>
      <c r="C2" s="16" t="s">
        <v>42</v>
      </c>
      <c r="D2" s="16" t="s">
        <v>43</v>
      </c>
      <c r="E2" s="12" t="s">
        <v>44</v>
      </c>
      <c r="F2" s="12"/>
      <c r="G2" s="12" t="s">
        <v>45</v>
      </c>
      <c r="H2" s="17" t="s">
        <v>46</v>
      </c>
      <c r="I2" s="17" t="s">
        <v>47</v>
      </c>
      <c r="K2" s="6" t="str">
        <f>IFERROR(__xludf.DUMMYFUNCTION("SORT(UNIQUE(FLATTEN(C2:I985)))"),"Anna Júlia Marques dos Santos")</f>
        <v>Anna Júlia Marques dos Santos</v>
      </c>
    </row>
    <row r="3">
      <c r="A3" s="18" t="s">
        <v>48</v>
      </c>
      <c r="B3" s="11" t="str">
        <f t="shared" si="1"/>
        <v>Dionysio dos Santos Rangel,Guilherme de Oliveira Medina,Gilson Batista Machado Martins,Gabriel Pinheiro Wriedt</v>
      </c>
      <c r="C3" s="12"/>
      <c r="D3" s="12"/>
      <c r="E3" s="19" t="s">
        <v>44</v>
      </c>
      <c r="F3" s="12"/>
      <c r="G3" s="12" t="s">
        <v>49</v>
      </c>
      <c r="H3" s="17" t="s">
        <v>50</v>
      </c>
      <c r="I3" s="17" t="s">
        <v>47</v>
      </c>
      <c r="K3" s="6" t="str">
        <f>IFERROR(__xludf.DUMMYFUNCTION("""COMPUTED_VALUE"""),"Dionysio dos Santos Rangel")</f>
        <v>Dionysio dos Santos Rangel</v>
      </c>
    </row>
    <row r="4">
      <c r="A4" s="10" t="s">
        <v>51</v>
      </c>
      <c r="B4" s="11" t="str">
        <f t="shared" si="1"/>
        <v>Eduardo Morais da Silva Caldas,Gabriel Pinheiro Wriedt,Guilherme Moura Mendes</v>
      </c>
      <c r="C4" s="16" t="s">
        <v>42</v>
      </c>
      <c r="D4" s="16" t="s">
        <v>47</v>
      </c>
      <c r="E4" s="12"/>
      <c r="F4" s="12" t="s">
        <v>52</v>
      </c>
      <c r="G4" s="12"/>
      <c r="H4" s="12"/>
      <c r="I4" s="12"/>
      <c r="K4" s="6" t="str">
        <f>IFERROR(__xludf.DUMMYFUNCTION("""COMPUTED_VALUE"""),"Eduardo Morais da Silva Caldas")</f>
        <v>Eduardo Morais da Silva Caldas</v>
      </c>
    </row>
    <row r="5">
      <c r="A5" s="10" t="s">
        <v>53</v>
      </c>
      <c r="B5" s="11" t="str">
        <f t="shared" si="1"/>
        <v>Eduardo Morais da Silva Caldas,Guilherme Moura Mendes,Guilherme de Oliveira Medina,Pedro Carneiro Cavalcante,Matheus da Silva Fonseca</v>
      </c>
      <c r="C5" s="16" t="s">
        <v>42</v>
      </c>
      <c r="D5" s="12"/>
      <c r="E5" s="12" t="s">
        <v>52</v>
      </c>
      <c r="F5" s="12"/>
      <c r="G5" s="12" t="s">
        <v>49</v>
      </c>
      <c r="H5" s="17" t="s">
        <v>43</v>
      </c>
      <c r="I5" s="17" t="s">
        <v>54</v>
      </c>
      <c r="K5" s="6" t="str">
        <f>IFERROR(__xludf.DUMMYFUNCTION("""COMPUTED_VALUE"""),"Gabriel Pinheiro Wriedt")</f>
        <v>Gabriel Pinheiro Wriedt</v>
      </c>
    </row>
    <row r="6">
      <c r="A6" s="10" t="s">
        <v>55</v>
      </c>
      <c r="B6" s="11" t="str">
        <f t="shared" si="1"/>
        <v>Luise Jully Lopes Moreira,Maria Eduarda Marques Araújo,Anna Júlia Marques dos Santos</v>
      </c>
      <c r="C6" s="16" t="s">
        <v>56</v>
      </c>
      <c r="D6" s="16" t="s">
        <v>46</v>
      </c>
      <c r="E6" s="12" t="s">
        <v>57</v>
      </c>
      <c r="F6" s="12"/>
      <c r="G6" s="12"/>
      <c r="H6" s="12"/>
      <c r="I6" s="12"/>
      <c r="K6" s="6" t="str">
        <f>IFERROR(__xludf.DUMMYFUNCTION("""COMPUTED_VALUE"""),"Gilson Batista Machado Martins")</f>
        <v>Gilson Batista Machado Martins</v>
      </c>
    </row>
    <row r="7">
      <c r="A7" s="3" t="s">
        <v>58</v>
      </c>
      <c r="B7" s="4" t="str">
        <f t="shared" si="1"/>
        <v>Eduardo Morais da Silva Caldas,Dionysio dos Santos Rangel,Guilherme de Oliveira Medina</v>
      </c>
      <c r="C7" s="20" t="s">
        <v>42</v>
      </c>
      <c r="D7" s="21" t="s">
        <v>44</v>
      </c>
      <c r="E7" s="21" t="s">
        <v>49</v>
      </c>
      <c r="F7" s="4"/>
      <c r="G7" s="4"/>
      <c r="H7" s="4"/>
      <c r="I7" s="11"/>
      <c r="K7" s="6" t="str">
        <f>IFERROR(__xludf.DUMMYFUNCTION("""COMPUTED_VALUE"""),"Guilherme de Oliveira Medina")</f>
        <v>Guilherme de Oliveira Medina</v>
      </c>
    </row>
    <row r="8">
      <c r="A8" s="7" t="s">
        <v>59</v>
      </c>
      <c r="B8" s="8" t="str">
        <f t="shared" si="1"/>
        <v>Luise Jully Lopes Moreira,Guilherme Guglielmo Gargaglione</v>
      </c>
      <c r="C8" s="20" t="s">
        <v>56</v>
      </c>
      <c r="D8" s="22"/>
      <c r="E8" s="22"/>
      <c r="F8" s="22"/>
      <c r="G8" s="22"/>
      <c r="H8" s="23" t="s">
        <v>60</v>
      </c>
      <c r="I8" s="11"/>
      <c r="K8" s="6" t="str">
        <f>IFERROR(__xludf.DUMMYFUNCTION("""COMPUTED_VALUE"""),"Guilherme Guglielmo Gargaglione")</f>
        <v>Guilherme Guglielmo Gargaglione</v>
      </c>
    </row>
    <row r="9">
      <c r="A9" s="3" t="s">
        <v>61</v>
      </c>
      <c r="B9" s="4" t="str">
        <f t="shared" si="1"/>
        <v>Dionysio dos Santos Rangel,Guilherme Moura Mendes</v>
      </c>
      <c r="C9" s="21" t="s">
        <v>44</v>
      </c>
      <c r="D9" s="21" t="s">
        <v>52</v>
      </c>
      <c r="E9" s="4"/>
      <c r="F9" s="4"/>
      <c r="G9" s="4"/>
      <c r="H9" s="4"/>
      <c r="I9" s="11"/>
      <c r="K9" s="6" t="str">
        <f>IFERROR(__xludf.DUMMYFUNCTION("""COMPUTED_VALUE"""),"Guilherme Moura Mendes")</f>
        <v>Guilherme Moura Mendes</v>
      </c>
    </row>
    <row r="10">
      <c r="A10" s="10"/>
      <c r="B10" s="10"/>
      <c r="C10" s="10"/>
      <c r="D10" s="10"/>
      <c r="E10" s="10"/>
      <c r="F10" s="10"/>
      <c r="G10" s="10"/>
      <c r="H10" s="10"/>
      <c r="I10" s="10"/>
      <c r="K10" s="6" t="str">
        <f>IFERROR(__xludf.DUMMYFUNCTION("""COMPUTED_VALUE"""),"Heitor Alves Macena Mendes")</f>
        <v>Heitor Alves Macena Mendes</v>
      </c>
    </row>
    <row r="11">
      <c r="A11" s="10"/>
      <c r="B11" s="10"/>
      <c r="C11" s="10"/>
      <c r="D11" s="10"/>
      <c r="E11" s="10"/>
      <c r="F11" s="10"/>
      <c r="G11" s="10"/>
      <c r="H11" s="10"/>
      <c r="I11" s="10"/>
      <c r="K11" s="6" t="str">
        <f>IFERROR(__xludf.DUMMYFUNCTION("""COMPUTED_VALUE"""),"Luise Jully Lopes Moreira")</f>
        <v>Luise Jully Lopes Moreira</v>
      </c>
    </row>
    <row r="12">
      <c r="A12" s="10"/>
      <c r="B12" s="10"/>
      <c r="C12" s="10"/>
      <c r="D12" s="10"/>
      <c r="E12" s="10"/>
      <c r="F12" s="10"/>
      <c r="G12" s="10"/>
      <c r="H12" s="10"/>
      <c r="I12" s="10"/>
      <c r="K12" s="6" t="str">
        <f>IFERROR(__xludf.DUMMYFUNCTION("""COMPUTED_VALUE"""),"Maria Eduarda Marques Araújo")</f>
        <v>Maria Eduarda Marques Araújo</v>
      </c>
    </row>
    <row r="13">
      <c r="K13" s="6" t="str">
        <f>IFERROR(__xludf.DUMMYFUNCTION("""COMPUTED_VALUE"""),"Matheus da Silva Fonseca")</f>
        <v>Matheus da Silva Fonseca</v>
      </c>
    </row>
    <row r="14">
      <c r="K14" s="6" t="str">
        <f>IFERROR(__xludf.DUMMYFUNCTION("""COMPUTED_VALUE"""),"Pedro Carneiro Cavalcante")</f>
        <v>Pedro Carneiro Cavalcante</v>
      </c>
    </row>
    <row r="15">
      <c r="K15" s="6"/>
    </row>
  </sheetData>
  <mergeCells count="1">
    <mergeCell ref="D1:I1"/>
  </mergeCells>
  <dataValidations>
    <dataValidation type="list" allowBlank="1" showErrorMessage="1" sqref="C2:I9">
      <formula1>#REF!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0" t="s">
        <v>62</v>
      </c>
      <c r="B2" s="11" t="str">
        <f t="shared" ref="B2:B5" si="1">TEXTJOIN(",", TRUE, C2:I2)</f>
        <v>Clara Emmanuel Balocco,Luiza Pavani de Castro,João Leote de Paula</v>
      </c>
      <c r="C2" s="16" t="s">
        <v>63</v>
      </c>
      <c r="D2" s="16" t="s">
        <v>64</v>
      </c>
      <c r="E2" s="12" t="s">
        <v>65</v>
      </c>
      <c r="F2" s="12"/>
      <c r="G2" s="12"/>
      <c r="H2" s="12"/>
      <c r="I2" s="12"/>
      <c r="K2" s="6" t="str">
        <f>IFERROR(__xludf.DUMMYFUNCTION("SORT(UNIQUE(FLATTEN(C2:I975)))"),"Ana Clara Martinho Pinheiro")</f>
        <v>Ana Clara Martinho Pinheiro</v>
      </c>
    </row>
    <row r="3">
      <c r="A3" s="3" t="s">
        <v>66</v>
      </c>
      <c r="B3" s="4" t="str">
        <f t="shared" si="1"/>
        <v>Lucas Angelo Ribeiro,Antonio Barros Valentim,Rafael Luiz Santos Nobre</v>
      </c>
      <c r="C3" s="24" t="s">
        <v>67</v>
      </c>
      <c r="D3" s="16" t="s">
        <v>68</v>
      </c>
      <c r="E3" s="12" t="s">
        <v>69</v>
      </c>
      <c r="F3" s="12"/>
      <c r="G3" s="12"/>
      <c r="H3" s="12"/>
      <c r="I3" s="12"/>
      <c r="K3" s="6" t="str">
        <f>IFERROR(__xludf.DUMMYFUNCTION("""COMPUTED_VALUE"""),"Antonio Barros Valentim")</f>
        <v>Antonio Barros Valentim</v>
      </c>
    </row>
    <row r="4">
      <c r="A4" s="7" t="s">
        <v>70</v>
      </c>
      <c r="B4" s="8" t="str">
        <f t="shared" si="1"/>
        <v>Breno Gonçalves Faria,João Victor Moraes Bezerra Sousa,Arthur Rodrigues Amorim</v>
      </c>
      <c r="C4" s="24" t="s">
        <v>71</v>
      </c>
      <c r="D4" s="16" t="s">
        <v>72</v>
      </c>
      <c r="E4" s="12" t="s">
        <v>73</v>
      </c>
      <c r="F4" s="12"/>
      <c r="G4" s="12"/>
      <c r="H4" s="12"/>
      <c r="I4" s="12"/>
      <c r="K4" s="6" t="str">
        <f>IFERROR(__xludf.DUMMYFUNCTION("""COMPUTED_VALUE"""),"Arthur Rodrigues Amorim")</f>
        <v>Arthur Rodrigues Amorim</v>
      </c>
    </row>
    <row r="5">
      <c r="A5" s="3" t="s">
        <v>74</v>
      </c>
      <c r="B5" s="4" t="str">
        <f t="shared" si="1"/>
        <v>Breno Gonçalves Faria,Ana Clara Martinho Pinheiro,Bento Magno Baptista Gonçalves,Gabriela Andrade Gonçalves</v>
      </c>
      <c r="C5" s="24" t="s">
        <v>71</v>
      </c>
      <c r="D5" s="16" t="s">
        <v>75</v>
      </c>
      <c r="E5" s="12" t="s">
        <v>76</v>
      </c>
      <c r="F5" s="12" t="s">
        <v>77</v>
      </c>
      <c r="G5" s="12"/>
      <c r="H5" s="12"/>
      <c r="I5" s="12"/>
      <c r="K5" s="6" t="str">
        <f>IFERROR(__xludf.DUMMYFUNCTION("""COMPUTED_VALUE"""),"Bento Magno Baptista Gonçalves")</f>
        <v>Bento Magno Baptista Gonçalves</v>
      </c>
    </row>
    <row r="6">
      <c r="K6" s="6" t="str">
        <f>IFERROR(__xludf.DUMMYFUNCTION("""COMPUTED_VALUE"""),"Breno Gonçalves Faria")</f>
        <v>Breno Gonçalves Faria</v>
      </c>
    </row>
    <row r="7">
      <c r="K7" s="6" t="str">
        <f>IFERROR(__xludf.DUMMYFUNCTION("""COMPUTED_VALUE"""),"Clara Emmanuel Balocco")</f>
        <v>Clara Emmanuel Balocco</v>
      </c>
    </row>
    <row r="8">
      <c r="K8" s="6" t="str">
        <f>IFERROR(__xludf.DUMMYFUNCTION("""COMPUTED_VALUE"""),"Gabriela Andrade Gonçalves")</f>
        <v>Gabriela Andrade Gonçalves</v>
      </c>
    </row>
    <row r="9">
      <c r="K9" s="6" t="str">
        <f>IFERROR(__xludf.DUMMYFUNCTION("""COMPUTED_VALUE"""),"João Leote de Paula")</f>
        <v>João Leote de Paula</v>
      </c>
    </row>
    <row r="10">
      <c r="K10" s="6" t="str">
        <f>IFERROR(__xludf.DUMMYFUNCTION("""COMPUTED_VALUE"""),"João Victor Moraes Bezerra Sousa")</f>
        <v>João Victor Moraes Bezerra Sousa</v>
      </c>
    </row>
    <row r="11">
      <c r="K11" s="6" t="str">
        <f>IFERROR(__xludf.DUMMYFUNCTION("""COMPUTED_VALUE"""),"Lucas Angelo Ribeiro")</f>
        <v>Lucas Angelo Ribeiro</v>
      </c>
    </row>
    <row r="12">
      <c r="K12" s="6" t="str">
        <f>IFERROR(__xludf.DUMMYFUNCTION("""COMPUTED_VALUE"""),"Luiza Pavani de Castro")</f>
        <v>Luiza Pavani de Castro</v>
      </c>
    </row>
    <row r="13">
      <c r="K13" s="6" t="str">
        <f>IFERROR(__xludf.DUMMYFUNCTION("""COMPUTED_VALUE"""),"Rafael Luiz Santos Nobre")</f>
        <v>Rafael Luiz Santos Nobre</v>
      </c>
    </row>
    <row r="14">
      <c r="K14" s="6"/>
    </row>
  </sheetData>
  <mergeCells count="1">
    <mergeCell ref="D1:I1"/>
  </mergeCells>
  <dataValidations>
    <dataValidation type="list" allowBlank="1" showErrorMessage="1" sqref="C2:I5">
      <formula1>"Allan Augusto Figueiredo Souza"</formula1>
    </dataValidation>
  </dataValidations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0" t="s">
        <v>78</v>
      </c>
      <c r="B2" s="11" t="str">
        <f t="shared" ref="B2:B7" si="1">TEXTJOIN(",", TRUE, C2:I2)</f>
        <v>Maria Clara Vasconcelos Menegoy Siqueira,Joana Rei Barreto da Costa,Raicca Nóbrega Nicolau dos Santos</v>
      </c>
      <c r="C2" s="11" t="s">
        <v>79</v>
      </c>
      <c r="D2" s="12"/>
      <c r="E2" s="11" t="s">
        <v>80</v>
      </c>
      <c r="F2" s="11" t="s">
        <v>81</v>
      </c>
      <c r="G2" s="12"/>
      <c r="H2" s="12"/>
      <c r="I2" s="12"/>
      <c r="K2" s="6" t="str">
        <f>IFERROR(__xludf.DUMMYFUNCTION("SORT(UNIQUE(FLATTEN(C2:I967)))"),"Clara de Abreu Amante")</f>
        <v>Clara de Abreu Amante</v>
      </c>
    </row>
    <row r="3">
      <c r="A3" s="3" t="s">
        <v>82</v>
      </c>
      <c r="B3" s="11" t="str">
        <f t="shared" si="1"/>
        <v>Maria Clara Vasconcelos Menegoy Siqueira,Renato Saboia Cordeiro de Azevedo,Luiz Antonio Alves Prado Filho</v>
      </c>
      <c r="C3" s="11" t="s">
        <v>79</v>
      </c>
      <c r="D3" s="11" t="s">
        <v>83</v>
      </c>
      <c r="E3" s="11" t="s">
        <v>84</v>
      </c>
      <c r="F3" s="12"/>
      <c r="G3" s="12"/>
      <c r="H3" s="12"/>
      <c r="I3" s="12"/>
      <c r="K3" s="6" t="str">
        <f>IFERROR(__xludf.DUMMYFUNCTION("""COMPUTED_VALUE"""),"Eduardo Meth Domingues")</f>
        <v>Eduardo Meth Domingues</v>
      </c>
    </row>
    <row r="4">
      <c r="A4" s="7" t="s">
        <v>85</v>
      </c>
      <c r="B4" s="11" t="str">
        <f t="shared" si="1"/>
        <v>Gabriela D'Agostini Fraga,Clara de Abreu Amante,Gabriela Hartalian Klescoski</v>
      </c>
      <c r="C4" s="16" t="s">
        <v>86</v>
      </c>
      <c r="D4" s="11" t="s">
        <v>87</v>
      </c>
      <c r="E4" s="11" t="s">
        <v>88</v>
      </c>
      <c r="F4" s="12"/>
      <c r="G4" s="11"/>
      <c r="H4" s="11"/>
      <c r="I4" s="11"/>
      <c r="K4" s="6" t="str">
        <f>IFERROR(__xludf.DUMMYFUNCTION("""COMPUTED_VALUE"""),"Estela Cerqueira Werneck Vianna")</f>
        <v>Estela Cerqueira Werneck Vianna</v>
      </c>
    </row>
    <row r="5">
      <c r="A5" s="3" t="s">
        <v>89</v>
      </c>
      <c r="B5" s="11" t="str">
        <f t="shared" si="1"/>
        <v>Gabriela D'Agostini Fraga,Raicca Nóbrega Nicolau dos Santos,Renato Saboia Cordeiro de Azevedo</v>
      </c>
      <c r="C5" s="16" t="s">
        <v>86</v>
      </c>
      <c r="D5" s="16" t="s">
        <v>81</v>
      </c>
      <c r="E5" s="11" t="s">
        <v>83</v>
      </c>
      <c r="F5" s="12"/>
      <c r="G5" s="11"/>
      <c r="H5" s="11"/>
      <c r="I5" s="11"/>
      <c r="K5" s="6" t="str">
        <f>IFERROR(__xludf.DUMMYFUNCTION("""COMPUTED_VALUE"""),"Gabriela D'Agostini Fraga")</f>
        <v>Gabriela D'Agostini Fraga</v>
      </c>
    </row>
    <row r="6">
      <c r="A6" s="10" t="s">
        <v>90</v>
      </c>
      <c r="B6" s="11" t="str">
        <f t="shared" si="1"/>
        <v>Maria Clara Vasconcelos Menegoy Siqueira,Estela Cerqueira Werneck Vianna,Victor Ferreira Delaia</v>
      </c>
      <c r="C6" s="11" t="s">
        <v>79</v>
      </c>
      <c r="D6" s="16" t="s">
        <v>91</v>
      </c>
      <c r="E6" s="12" t="s">
        <v>92</v>
      </c>
      <c r="F6" s="12"/>
      <c r="G6" s="11"/>
      <c r="H6" s="11"/>
      <c r="I6" s="11"/>
      <c r="K6" s="6" t="str">
        <f>IFERROR(__xludf.DUMMYFUNCTION("""COMPUTED_VALUE"""),"Gabriela Hartalian Klescoski")</f>
        <v>Gabriela Hartalian Klescoski</v>
      </c>
    </row>
    <row r="7">
      <c r="A7" s="10" t="s">
        <v>93</v>
      </c>
      <c r="B7" s="11" t="str">
        <f t="shared" si="1"/>
        <v>Eduardo Meth Domingues</v>
      </c>
      <c r="C7" s="12"/>
      <c r="D7" s="12"/>
      <c r="E7" s="11" t="s">
        <v>94</v>
      </c>
      <c r="F7" s="12"/>
      <c r="G7" s="11"/>
      <c r="H7" s="11"/>
      <c r="I7" s="11"/>
      <c r="K7" s="6" t="str">
        <f>IFERROR(__xludf.DUMMYFUNCTION("""COMPUTED_VALUE"""),"Joana Rei Barreto da Costa")</f>
        <v>Joana Rei Barreto da Costa</v>
      </c>
    </row>
    <row r="8">
      <c r="A8" s="10"/>
      <c r="B8" s="10"/>
      <c r="C8" s="10"/>
      <c r="D8" s="10"/>
      <c r="E8" s="10"/>
      <c r="F8" s="10"/>
      <c r="G8" s="10"/>
      <c r="H8" s="10"/>
      <c r="I8" s="10"/>
      <c r="K8" s="6" t="str">
        <f>IFERROR(__xludf.DUMMYFUNCTION("""COMPUTED_VALUE"""),"Luiz Antonio Alves Prado Filho")</f>
        <v>Luiz Antonio Alves Prado Filho</v>
      </c>
    </row>
    <row r="9">
      <c r="K9" s="6" t="str">
        <f>IFERROR(__xludf.DUMMYFUNCTION("""COMPUTED_VALUE"""),"Maria Clara Vasconcelos Menegoy Siqueira")</f>
        <v>Maria Clara Vasconcelos Menegoy Siqueira</v>
      </c>
    </row>
    <row r="10">
      <c r="K10" s="6" t="str">
        <f>IFERROR(__xludf.DUMMYFUNCTION("""COMPUTED_VALUE"""),"Raicca Nóbrega Nicolau dos Santos")</f>
        <v>Raicca Nóbrega Nicolau dos Santos</v>
      </c>
    </row>
    <row r="11">
      <c r="K11" s="6" t="str">
        <f>IFERROR(__xludf.DUMMYFUNCTION("""COMPUTED_VALUE"""),"Renato Saboia Cordeiro de Azevedo")</f>
        <v>Renato Saboia Cordeiro de Azevedo</v>
      </c>
    </row>
    <row r="12">
      <c r="K12" s="6" t="str">
        <f>IFERROR(__xludf.DUMMYFUNCTION("""COMPUTED_VALUE"""),"Victor Ferreira Delaia")</f>
        <v>Victor Ferreira Delaia</v>
      </c>
    </row>
    <row r="13">
      <c r="K13" s="6"/>
    </row>
  </sheetData>
  <mergeCells count="1">
    <mergeCell ref="D1:I1"/>
  </mergeCells>
  <dataValidations>
    <dataValidation type="list" allowBlank="1" showErrorMessage="1" sqref="C2:I7">
      <formula1>#REF!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  <col customWidth="1" min="2" max="2" width="6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6" t="str">
        <f t="shared" ref="B2:B40" si="1">TEXTJOIN(",", TRUE, C2:I2)</f>
        <v>Pedro Angelo,Anna Clara Moura,Bruno Pavan,Agatha Maria Frossard</v>
      </c>
      <c r="C2" s="25" t="s">
        <v>95</v>
      </c>
      <c r="D2" s="25" t="s">
        <v>96</v>
      </c>
      <c r="E2" s="5" t="s">
        <v>97</v>
      </c>
      <c r="F2" s="5" t="s">
        <v>98</v>
      </c>
      <c r="G2" s="26"/>
      <c r="H2" s="26"/>
      <c r="I2" s="26"/>
    </row>
    <row r="3">
      <c r="A3" s="7" t="s">
        <v>9</v>
      </c>
      <c r="B3" s="6" t="str">
        <f t="shared" si="1"/>
        <v>Ana Beatriz Morgado,Bruna Azevedo</v>
      </c>
      <c r="C3" s="24" t="s">
        <v>99</v>
      </c>
      <c r="D3" s="24" t="s">
        <v>100</v>
      </c>
      <c r="E3" s="27"/>
      <c r="F3" s="27"/>
      <c r="G3" s="27"/>
      <c r="H3" s="27"/>
      <c r="I3" s="27"/>
    </row>
    <row r="4">
      <c r="A4" s="3" t="s">
        <v>101</v>
      </c>
      <c r="B4" s="6" t="str">
        <f t="shared" si="1"/>
        <v>Laís Delpupo,Bruno de Assis,Pedro Paim</v>
      </c>
      <c r="C4" s="25" t="s">
        <v>102</v>
      </c>
      <c r="D4" s="25" t="s">
        <v>103</v>
      </c>
      <c r="E4" s="5" t="s">
        <v>104</v>
      </c>
      <c r="F4" s="26"/>
      <c r="G4" s="26"/>
      <c r="H4" s="26"/>
      <c r="I4" s="26"/>
    </row>
    <row r="5">
      <c r="A5" s="7" t="s">
        <v>105</v>
      </c>
      <c r="B5" s="6" t="str">
        <f t="shared" si="1"/>
        <v>Pedro Angelo</v>
      </c>
      <c r="C5" s="27"/>
      <c r="D5" s="24" t="s">
        <v>95</v>
      </c>
      <c r="E5" s="27"/>
      <c r="F5" s="27"/>
      <c r="G5" s="27"/>
      <c r="H5" s="27"/>
      <c r="I5" s="27"/>
    </row>
    <row r="6">
      <c r="A6" s="10" t="s">
        <v>106</v>
      </c>
      <c r="B6" s="6" t="str">
        <f t="shared" si="1"/>
        <v>Pedro Angelo,Isabel Chapelin,Leonardo Zhao,Maria Fernanda Romilho,Arthur Catelani,Matheus Mafra,Marcos Paulo Santos</v>
      </c>
      <c r="C6" s="16" t="s">
        <v>95</v>
      </c>
      <c r="D6" s="16" t="s">
        <v>107</v>
      </c>
      <c r="E6" s="12" t="s">
        <v>108</v>
      </c>
      <c r="F6" s="12" t="s">
        <v>109</v>
      </c>
      <c r="G6" s="12" t="s">
        <v>110</v>
      </c>
      <c r="H6" s="17" t="s">
        <v>111</v>
      </c>
      <c r="I6" s="17" t="s">
        <v>112</v>
      </c>
    </row>
    <row r="7">
      <c r="A7" s="13" t="s">
        <v>113</v>
      </c>
      <c r="B7" s="6" t="str">
        <f t="shared" si="1"/>
        <v>Luisa Fontoura,Leonardo Zhao,Bruna Azevedo,Lívia Alves,Camila Bruckmann </v>
      </c>
      <c r="C7" s="16" t="s">
        <v>114</v>
      </c>
      <c r="D7" s="16" t="s">
        <v>108</v>
      </c>
      <c r="E7" s="28"/>
      <c r="F7" s="12" t="s">
        <v>100</v>
      </c>
      <c r="G7" s="12" t="s">
        <v>115</v>
      </c>
      <c r="H7" s="17" t="s">
        <v>116</v>
      </c>
      <c r="I7" s="28"/>
    </row>
    <row r="8">
      <c r="A8" s="10" t="s">
        <v>117</v>
      </c>
      <c r="B8" s="6" t="str">
        <f t="shared" si="1"/>
        <v>Pedro Angelo,Marcos Paulo Santos,Bruna Azevedo</v>
      </c>
      <c r="C8" s="16" t="s">
        <v>95</v>
      </c>
      <c r="D8" s="16" t="s">
        <v>112</v>
      </c>
      <c r="E8" s="12" t="s">
        <v>100</v>
      </c>
      <c r="F8" s="28"/>
      <c r="G8" s="28"/>
      <c r="H8" s="28"/>
      <c r="I8" s="28"/>
    </row>
    <row r="9">
      <c r="A9" s="10" t="s">
        <v>19</v>
      </c>
      <c r="B9" s="6" t="str">
        <f t="shared" si="1"/>
        <v>Pedro Angelo,Maria Fernanda Romilho,Camila Bruckmann </v>
      </c>
      <c r="C9" s="16" t="s">
        <v>95</v>
      </c>
      <c r="D9" s="16" t="s">
        <v>109</v>
      </c>
      <c r="E9" s="12" t="s">
        <v>116</v>
      </c>
      <c r="F9" s="28"/>
      <c r="G9" s="28"/>
      <c r="H9" s="28"/>
      <c r="I9" s="28"/>
    </row>
    <row r="10">
      <c r="A10" s="10" t="s">
        <v>118</v>
      </c>
      <c r="B10" s="6" t="str">
        <f t="shared" si="1"/>
        <v>Cecilia Nogueira,Mariana Fonceca</v>
      </c>
      <c r="C10" s="16" t="s">
        <v>119</v>
      </c>
      <c r="D10" s="16" t="s">
        <v>120</v>
      </c>
      <c r="E10" s="28"/>
      <c r="F10" s="28"/>
      <c r="G10" s="28"/>
      <c r="H10" s="28"/>
      <c r="I10" s="28"/>
    </row>
    <row r="11">
      <c r="A11" s="10" t="s">
        <v>121</v>
      </c>
      <c r="B11" s="6" t="str">
        <f t="shared" si="1"/>
        <v>Cecilia Nogueira,Mariana Fonceca,Gabriel Santos,Roberto Carlos</v>
      </c>
      <c r="C11" s="16" t="s">
        <v>119</v>
      </c>
      <c r="D11" s="16" t="s">
        <v>120</v>
      </c>
      <c r="E11" s="12" t="s">
        <v>122</v>
      </c>
      <c r="F11" s="12" t="s">
        <v>123</v>
      </c>
      <c r="G11" s="28"/>
      <c r="H11" s="28"/>
      <c r="I11" s="28"/>
    </row>
    <row r="12">
      <c r="A12" s="10" t="s">
        <v>20</v>
      </c>
      <c r="B12" s="6" t="str">
        <f t="shared" si="1"/>
        <v>Gabriel Santos,Antonio Magalhães Figueira,Pedro Gomes,Luís Roberto Gonçalves,Giovanna</v>
      </c>
      <c r="C12" s="16" t="s">
        <v>122</v>
      </c>
      <c r="D12" s="16" t="s">
        <v>22</v>
      </c>
      <c r="E12" s="12" t="s">
        <v>124</v>
      </c>
      <c r="F12" s="12" t="s">
        <v>125</v>
      </c>
      <c r="G12" s="12" t="s">
        <v>126</v>
      </c>
      <c r="H12" s="28"/>
      <c r="I12" s="28"/>
    </row>
    <row r="13">
      <c r="A13" s="10" t="s">
        <v>24</v>
      </c>
      <c r="B13" s="6" t="str">
        <f t="shared" si="1"/>
        <v>Gabriel Santos,Dimitri Vidigal,Nicollas Lee,Pedro Pimentel Alves Vieira,Clara,Isabella Maria Ribeiro Ferreira</v>
      </c>
      <c r="C13" s="16" t="s">
        <v>122</v>
      </c>
      <c r="D13" s="16" t="s">
        <v>127</v>
      </c>
      <c r="E13" s="12" t="s">
        <v>128</v>
      </c>
      <c r="F13" s="12" t="s">
        <v>27</v>
      </c>
      <c r="G13" s="12" t="s">
        <v>129</v>
      </c>
      <c r="H13" s="17" t="s">
        <v>29</v>
      </c>
      <c r="I13" s="28"/>
    </row>
    <row r="14">
      <c r="A14" s="10" t="s">
        <v>30</v>
      </c>
      <c r="B14" s="6" t="str">
        <f t="shared" si="1"/>
        <v>Roberto Carlos,Nicollas Lee,Matheus Chrysostomo de Siqueira</v>
      </c>
      <c r="C14" s="16" t="s">
        <v>123</v>
      </c>
      <c r="D14" s="16" t="s">
        <v>128</v>
      </c>
      <c r="E14" s="12" t="s">
        <v>31</v>
      </c>
      <c r="F14" s="28"/>
      <c r="G14" s="28"/>
      <c r="H14" s="28"/>
      <c r="I14" s="28"/>
    </row>
    <row r="15">
      <c r="A15" s="10" t="s">
        <v>32</v>
      </c>
      <c r="B15" s="6" t="str">
        <f t="shared" si="1"/>
        <v>Clara,Ágata Moreira,Beatriz Rodrigues Humberto Vieira,Pedro Gomes,Victor Souza Cruz,Matheus Chrysostomo de Siqueira</v>
      </c>
      <c r="C15" s="16" t="s">
        <v>129</v>
      </c>
      <c r="D15" s="16" t="s">
        <v>130</v>
      </c>
      <c r="E15" s="12" t="s">
        <v>34</v>
      </c>
      <c r="F15" s="12" t="s">
        <v>124</v>
      </c>
      <c r="G15" s="12" t="s">
        <v>35</v>
      </c>
      <c r="H15" s="17" t="s">
        <v>31</v>
      </c>
      <c r="I15" s="28"/>
    </row>
    <row r="16">
      <c r="A16" s="10" t="s">
        <v>131</v>
      </c>
      <c r="B16" s="6" t="str">
        <f t="shared" si="1"/>
        <v>Paulo André Cardoso,Matheus Xavier,Pedro Fonseca,Guilherme Mendes,Pedro Carneiro</v>
      </c>
      <c r="C16" s="16" t="s">
        <v>132</v>
      </c>
      <c r="D16" s="16" t="s">
        <v>133</v>
      </c>
      <c r="E16" s="12" t="s">
        <v>134</v>
      </c>
      <c r="F16" s="12" t="s">
        <v>135</v>
      </c>
      <c r="G16" s="12" t="s">
        <v>136</v>
      </c>
      <c r="H16" s="28"/>
      <c r="I16" s="28"/>
    </row>
    <row r="17">
      <c r="A17" s="10" t="s">
        <v>137</v>
      </c>
      <c r="B17" s="6" t="str">
        <f t="shared" si="1"/>
        <v>Wallison Barroso,Vitória Beatriz</v>
      </c>
      <c r="C17" s="16" t="s">
        <v>138</v>
      </c>
      <c r="D17" s="12" t="s">
        <v>139</v>
      </c>
      <c r="E17" s="28"/>
      <c r="F17" s="28"/>
      <c r="G17" s="28"/>
      <c r="H17" s="28"/>
      <c r="I17" s="28"/>
    </row>
    <row r="18">
      <c r="A18" s="10" t="s">
        <v>140</v>
      </c>
      <c r="B18" s="6" t="str">
        <f t="shared" si="1"/>
        <v>Luiz Roberto Bastos,Arthur Almeida,Gilson Batista</v>
      </c>
      <c r="C18" s="16" t="s">
        <v>141</v>
      </c>
      <c r="D18" s="16" t="s">
        <v>142</v>
      </c>
      <c r="E18" s="12" t="s">
        <v>143</v>
      </c>
      <c r="F18" s="28"/>
      <c r="G18" s="28"/>
      <c r="H18" s="28"/>
      <c r="I18" s="28"/>
    </row>
    <row r="19">
      <c r="A19" s="10" t="s">
        <v>41</v>
      </c>
      <c r="B19" s="6" t="str">
        <f t="shared" si="1"/>
        <v>Eduardo Caldas,Pedro Carneiro,Dyonisio dos Santos,Elizeu dos Santos,Heitor Alves,Maria Marques,Gabriel Pinheiro</v>
      </c>
      <c r="C19" s="16" t="s">
        <v>144</v>
      </c>
      <c r="D19" s="16" t="s">
        <v>136</v>
      </c>
      <c r="E19" s="12" t="s">
        <v>145</v>
      </c>
      <c r="F19" s="12" t="s">
        <v>146</v>
      </c>
      <c r="G19" s="12" t="s">
        <v>147</v>
      </c>
      <c r="H19" s="17" t="s">
        <v>148</v>
      </c>
      <c r="I19" s="17" t="s">
        <v>149</v>
      </c>
    </row>
    <row r="20">
      <c r="A20" s="10" t="s">
        <v>48</v>
      </c>
      <c r="B20" s="6" t="str">
        <f t="shared" si="1"/>
        <v>Wallison Barroso,Pedro Fonseca,Eric Heubel,Jonas Pimenta,Guilherme Medina,Gilson Batista,Gabriel Pinheiro</v>
      </c>
      <c r="C20" s="16" t="s">
        <v>138</v>
      </c>
      <c r="D20" s="16" t="s">
        <v>134</v>
      </c>
      <c r="E20" s="12" t="s">
        <v>150</v>
      </c>
      <c r="F20" s="12" t="s">
        <v>151</v>
      </c>
      <c r="G20" s="12" t="s">
        <v>152</v>
      </c>
      <c r="H20" s="17" t="s">
        <v>143</v>
      </c>
      <c r="I20" s="17" t="s">
        <v>149</v>
      </c>
    </row>
    <row r="21">
      <c r="A21" s="10" t="s">
        <v>153</v>
      </c>
      <c r="B21" s="6" t="str">
        <f t="shared" si="1"/>
        <v>Eduardo Caldas,Arthur Almeida,Igor Moniz,Pedro Carneiro</v>
      </c>
      <c r="C21" s="16" t="s">
        <v>144</v>
      </c>
      <c r="D21" s="16" t="s">
        <v>142</v>
      </c>
      <c r="E21" s="12" t="s">
        <v>154</v>
      </c>
      <c r="F21" s="12" t="s">
        <v>136</v>
      </c>
      <c r="G21" s="28"/>
      <c r="H21" s="28"/>
      <c r="I21" s="28"/>
    </row>
    <row r="22">
      <c r="A22" s="10" t="s">
        <v>51</v>
      </c>
      <c r="B22" s="6" t="str">
        <f t="shared" si="1"/>
        <v>Eduardo Caldas,Gabriel Pinheiro,Gustavo Coelho,Guilherme Mendes</v>
      </c>
      <c r="C22" s="16" t="s">
        <v>144</v>
      </c>
      <c r="D22" s="16" t="s">
        <v>149</v>
      </c>
      <c r="E22" s="12" t="s">
        <v>155</v>
      </c>
      <c r="F22" s="12" t="s">
        <v>135</v>
      </c>
      <c r="G22" s="28"/>
      <c r="H22" s="28"/>
      <c r="I22" s="28"/>
    </row>
    <row r="23">
      <c r="A23" s="10" t="s">
        <v>156</v>
      </c>
      <c r="B23" s="6" t="str">
        <f t="shared" si="1"/>
        <v>Eduardo Caldas,Rafael Gondim,Guilherme Mendes,João Farah,Guilherme Medina,Pedro Carneiro,Matheus da Silva</v>
      </c>
      <c r="C23" s="16" t="s">
        <v>144</v>
      </c>
      <c r="D23" s="16" t="s">
        <v>157</v>
      </c>
      <c r="E23" s="12" t="s">
        <v>135</v>
      </c>
      <c r="F23" s="12" t="s">
        <v>158</v>
      </c>
      <c r="G23" s="12" t="s">
        <v>152</v>
      </c>
      <c r="H23" s="17" t="s">
        <v>136</v>
      </c>
      <c r="I23" s="17" t="s">
        <v>159</v>
      </c>
    </row>
    <row r="24">
      <c r="A24" s="10" t="s">
        <v>55</v>
      </c>
      <c r="B24" s="6" t="str">
        <f t="shared" si="1"/>
        <v>Luise Lopes,Maria Marques,Anna Júlia</v>
      </c>
      <c r="C24" s="16" t="s">
        <v>160</v>
      </c>
      <c r="D24" s="16" t="s">
        <v>148</v>
      </c>
      <c r="E24" s="12" t="s">
        <v>161</v>
      </c>
      <c r="F24" s="28"/>
      <c r="G24" s="28"/>
      <c r="H24" s="28"/>
      <c r="I24" s="28"/>
    </row>
    <row r="25">
      <c r="A25" s="10" t="s">
        <v>162</v>
      </c>
      <c r="B25" s="6" t="str">
        <f t="shared" si="1"/>
        <v>Pedro Carneiro,Dyonisio dos Santos,Lucas Ninhaus</v>
      </c>
      <c r="C25" s="16" t="s">
        <v>136</v>
      </c>
      <c r="D25" s="16" t="s">
        <v>145</v>
      </c>
      <c r="E25" s="12" t="s">
        <v>163</v>
      </c>
      <c r="F25" s="28"/>
      <c r="G25" s="28"/>
      <c r="H25" s="28"/>
      <c r="I25" s="28"/>
    </row>
    <row r="26">
      <c r="A26" s="10" t="s">
        <v>62</v>
      </c>
      <c r="B26" s="6" t="str">
        <f t="shared" si="1"/>
        <v>Clara Emmanuel Balocco,Luiza Pavani de Castro,João Leote de Paula</v>
      </c>
      <c r="C26" s="16" t="s">
        <v>63</v>
      </c>
      <c r="D26" s="16" t="s">
        <v>64</v>
      </c>
      <c r="E26" s="12" t="s">
        <v>65</v>
      </c>
      <c r="F26" s="28"/>
      <c r="G26" s="28"/>
      <c r="H26" s="28"/>
      <c r="I26" s="28"/>
    </row>
    <row r="27">
      <c r="A27" s="7" t="s">
        <v>164</v>
      </c>
      <c r="B27" s="6" t="str">
        <f t="shared" si="1"/>
        <v>Breno Gonçalves Faria,Ana Clara Martinho Pinheiro,Arthur Rodrigues Amorim,Bento Magno Baptista Gonçalves</v>
      </c>
      <c r="C27" s="25" t="s">
        <v>71</v>
      </c>
      <c r="D27" s="16" t="s">
        <v>75</v>
      </c>
      <c r="E27" s="28" t="s">
        <v>73</v>
      </c>
      <c r="F27" s="28" t="s">
        <v>76</v>
      </c>
      <c r="G27" s="28"/>
      <c r="H27" s="28"/>
      <c r="I27" s="26"/>
    </row>
    <row r="28">
      <c r="A28" s="3" t="s">
        <v>66</v>
      </c>
      <c r="B28" s="6" t="str">
        <f t="shared" si="1"/>
        <v>Lucas Angelo Ribeiro,Antonio Barros Valentim,Rafael Luiz Santos Nobre</v>
      </c>
      <c r="C28" s="16" t="s">
        <v>67</v>
      </c>
      <c r="D28" s="16" t="s">
        <v>68</v>
      </c>
      <c r="E28" s="12" t="s">
        <v>69</v>
      </c>
      <c r="F28" s="28"/>
      <c r="G28" s="28"/>
      <c r="H28" s="28"/>
      <c r="I28" s="28"/>
    </row>
    <row r="29">
      <c r="A29" s="7" t="s">
        <v>70</v>
      </c>
      <c r="B29" s="6" t="str">
        <f t="shared" si="1"/>
        <v>Breno Gonçalves Faria,João Victor Moraes Bezerra Sousa,Arthur Rodrigues Amorim</v>
      </c>
      <c r="C29" s="16" t="s">
        <v>71</v>
      </c>
      <c r="D29" s="16" t="s">
        <v>72</v>
      </c>
      <c r="E29" s="12" t="s">
        <v>73</v>
      </c>
      <c r="F29" s="28"/>
      <c r="G29" s="28"/>
      <c r="H29" s="28"/>
      <c r="I29" s="28"/>
    </row>
    <row r="30">
      <c r="A30" s="3" t="s">
        <v>165</v>
      </c>
      <c r="B30" s="6" t="str">
        <f t="shared" si="1"/>
        <v>Breno Gonçalves Faria,Ana Clara Martinho Pinheiro,Bento Magno Baptista Gonçalves,Gabriela Andrade Gonçalves</v>
      </c>
      <c r="C30" s="16" t="s">
        <v>71</v>
      </c>
      <c r="D30" s="16" t="s">
        <v>75</v>
      </c>
      <c r="E30" s="12" t="s">
        <v>76</v>
      </c>
      <c r="F30" s="12" t="s">
        <v>77</v>
      </c>
      <c r="G30" s="28"/>
      <c r="H30" s="28"/>
      <c r="I30" s="28"/>
    </row>
    <row r="31">
      <c r="A31" s="7" t="s">
        <v>166</v>
      </c>
      <c r="B31" s="6" t="str">
        <f t="shared" si="1"/>
        <v>Lucas Angelo Ribeiro,Gabriela Correa,Arthur Rodrigues Amorim,Gabriela Correa,Luiza Pavani de Castro</v>
      </c>
      <c r="C31" s="16" t="s">
        <v>67</v>
      </c>
      <c r="D31" s="16" t="s">
        <v>167</v>
      </c>
      <c r="E31" s="12" t="s">
        <v>73</v>
      </c>
      <c r="F31" s="12" t="s">
        <v>167</v>
      </c>
      <c r="G31" s="12" t="s">
        <v>64</v>
      </c>
      <c r="H31" s="28"/>
      <c r="I31" s="28"/>
    </row>
    <row r="32">
      <c r="A32" s="3" t="s">
        <v>168</v>
      </c>
      <c r="B32" s="6" t="str">
        <f t="shared" si="1"/>
        <v>Clara Emmanuel Balocco,Allan Garcia Araujo,Emmanuel Curvelo,Luiza Pavani de Castro,João Victor Moraes Bezerra Sousa</v>
      </c>
      <c r="C32" s="16" t="s">
        <v>63</v>
      </c>
      <c r="D32" s="16" t="s">
        <v>169</v>
      </c>
      <c r="E32" s="12" t="s">
        <v>170</v>
      </c>
      <c r="F32" s="12" t="s">
        <v>64</v>
      </c>
      <c r="G32" s="12" t="s">
        <v>72</v>
      </c>
      <c r="H32" s="28"/>
      <c r="I32" s="28"/>
    </row>
    <row r="33">
      <c r="A33" s="7" t="s">
        <v>171</v>
      </c>
      <c r="B33" s="6" t="str">
        <f t="shared" si="1"/>
        <v>Bruno Gusmão Braga Pereira,Lucas Angelo Ribeiro,Paloma Viary Santana de Oliveira,Rafael Souza Leal</v>
      </c>
      <c r="C33" s="16" t="s">
        <v>172</v>
      </c>
      <c r="D33" s="16" t="s">
        <v>67</v>
      </c>
      <c r="E33" s="12" t="s">
        <v>173</v>
      </c>
      <c r="F33" s="12" t="s">
        <v>174</v>
      </c>
      <c r="G33" s="28"/>
      <c r="H33" s="28"/>
      <c r="I33" s="28"/>
    </row>
    <row r="34">
      <c r="A34" s="3" t="s">
        <v>93</v>
      </c>
      <c r="B34" s="6" t="str">
        <f t="shared" si="1"/>
        <v>Enzo Marmello,Davison,Eduardo Meth,PAULO DURVAL DA SILVA OLIVEIRA</v>
      </c>
      <c r="C34" s="16" t="s">
        <v>175</v>
      </c>
      <c r="D34" s="16" t="s">
        <v>176</v>
      </c>
      <c r="E34" s="12" t="s">
        <v>177</v>
      </c>
      <c r="F34" s="12" t="s">
        <v>178</v>
      </c>
      <c r="G34" s="28"/>
      <c r="H34" s="28"/>
      <c r="I34" s="28"/>
    </row>
    <row r="35">
      <c r="A35" s="10" t="s">
        <v>179</v>
      </c>
      <c r="B35" s="6" t="str">
        <f t="shared" si="1"/>
        <v>Pedro Marcos ,Maria Vitória Gomes,Giovanna Gomes</v>
      </c>
      <c r="C35" s="16" t="s">
        <v>180</v>
      </c>
      <c r="D35" s="16" t="s">
        <v>181</v>
      </c>
      <c r="E35" s="12" t="s">
        <v>182</v>
      </c>
      <c r="F35" s="28"/>
      <c r="G35" s="28"/>
      <c r="H35" s="28"/>
      <c r="I35" s="28"/>
    </row>
    <row r="36">
      <c r="A36" s="10" t="s">
        <v>183</v>
      </c>
      <c r="B36" s="6" t="str">
        <f t="shared" si="1"/>
        <v>Karolina,Maria Clara Vasconcelos ,Luiz Antônio Alves </v>
      </c>
      <c r="C36" s="16" t="s">
        <v>184</v>
      </c>
      <c r="D36" s="16" t="s">
        <v>185</v>
      </c>
      <c r="E36" s="12" t="s">
        <v>186</v>
      </c>
      <c r="F36" s="28"/>
      <c r="G36" s="28"/>
      <c r="H36" s="28"/>
      <c r="I36" s="28"/>
    </row>
    <row r="37">
      <c r="A37" s="10" t="s">
        <v>187</v>
      </c>
      <c r="B37" s="6" t="str">
        <f t="shared" si="1"/>
        <v>Gabriela D'Agostini Fraga,Anna Julia Santana Ferreira,Victor Ferreira Delaia</v>
      </c>
      <c r="C37" s="16" t="s">
        <v>86</v>
      </c>
      <c r="D37" s="16" t="s">
        <v>188</v>
      </c>
      <c r="E37" s="12" t="s">
        <v>92</v>
      </c>
      <c r="F37" s="28"/>
      <c r="G37" s="28"/>
      <c r="H37" s="28"/>
      <c r="I37" s="28"/>
    </row>
    <row r="38">
      <c r="A38" s="10" t="s">
        <v>78</v>
      </c>
      <c r="B38" s="6" t="str">
        <f t="shared" si="1"/>
        <v>Luiza Gonzalez,Maria Clara Vasconcelos ,Joana Rei </v>
      </c>
      <c r="C38" s="16" t="s">
        <v>189</v>
      </c>
      <c r="D38" s="16" t="s">
        <v>185</v>
      </c>
      <c r="E38" s="12" t="s">
        <v>190</v>
      </c>
      <c r="F38" s="28"/>
      <c r="G38" s="28"/>
      <c r="H38" s="28"/>
      <c r="I38" s="28"/>
    </row>
    <row r="39">
      <c r="A39" s="10" t="s">
        <v>191</v>
      </c>
      <c r="B39" s="6" t="str">
        <f t="shared" si="1"/>
        <v>Karolina,Maria Vitória Gomes,Anna Julia Santana Ferreira</v>
      </c>
      <c r="C39" s="16" t="s">
        <v>184</v>
      </c>
      <c r="D39" s="16" t="s">
        <v>181</v>
      </c>
      <c r="E39" s="12" t="s">
        <v>188</v>
      </c>
      <c r="F39" s="28"/>
      <c r="G39" s="28"/>
      <c r="H39" s="28"/>
      <c r="I39" s="28"/>
    </row>
    <row r="40">
      <c r="A40" s="10" t="s">
        <v>82</v>
      </c>
      <c r="B40" s="6" t="str">
        <f t="shared" si="1"/>
        <v>Maria Clara Vasconcelos ,Renato Saboia,Luiz Antônio Alves </v>
      </c>
      <c r="C40" s="16" t="s">
        <v>185</v>
      </c>
      <c r="D40" s="16" t="s">
        <v>192</v>
      </c>
      <c r="E40" s="12" t="s">
        <v>186</v>
      </c>
      <c r="F40" s="28"/>
      <c r="G40" s="28"/>
      <c r="H40" s="28"/>
      <c r="I40" s="28"/>
    </row>
  </sheetData>
  <mergeCells count="1">
    <mergeCell ref="D1:I1"/>
  </mergeCells>
  <dataValidations>
    <dataValidation type="list" allowBlank="1" showErrorMessage="1" sqref="C2:I40">
      <formula1>#REF!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</cols>
  <sheetData>
    <row r="1">
      <c r="A1" s="1" t="s">
        <v>193</v>
      </c>
      <c r="B1" s="1" t="s">
        <v>194</v>
      </c>
    </row>
    <row r="2">
      <c r="A2" s="29" t="s">
        <v>195</v>
      </c>
      <c r="B2" s="30" t="s">
        <v>196</v>
      </c>
    </row>
    <row r="3">
      <c r="A3" s="29" t="s">
        <v>197</v>
      </c>
      <c r="B3" s="31" t="s">
        <v>198</v>
      </c>
    </row>
    <row r="4">
      <c r="A4" s="29" t="s">
        <v>199</v>
      </c>
      <c r="B4" s="31" t="s">
        <v>200</v>
      </c>
    </row>
    <row r="5">
      <c r="A5" s="29" t="s">
        <v>201</v>
      </c>
      <c r="B5" s="31" t="s">
        <v>202</v>
      </c>
    </row>
    <row r="6">
      <c r="A6" s="29" t="s">
        <v>203</v>
      </c>
      <c r="B6" s="31" t="s">
        <v>204</v>
      </c>
    </row>
    <row r="7">
      <c r="A7" s="29" t="s">
        <v>205</v>
      </c>
      <c r="B7" s="31" t="s">
        <v>206</v>
      </c>
    </row>
    <row r="8">
      <c r="A8" s="29" t="s">
        <v>207</v>
      </c>
      <c r="B8" s="31" t="s">
        <v>208</v>
      </c>
    </row>
    <row r="9">
      <c r="A9" s="32" t="s">
        <v>209</v>
      </c>
      <c r="B9" s="31" t="s">
        <v>210</v>
      </c>
    </row>
    <row r="10">
      <c r="A10" s="29" t="s">
        <v>211</v>
      </c>
      <c r="B10" s="31" t="s">
        <v>212</v>
      </c>
    </row>
    <row r="11">
      <c r="A11" s="32" t="s">
        <v>213</v>
      </c>
      <c r="B11" s="31" t="s">
        <v>214</v>
      </c>
    </row>
    <row r="12">
      <c r="A12" s="29" t="s">
        <v>215</v>
      </c>
      <c r="B12" s="31" t="s">
        <v>216</v>
      </c>
    </row>
    <row r="13">
      <c r="A13" s="33"/>
      <c r="B13" s="34"/>
    </row>
  </sheetData>
  <drawing r:id="rId1"/>
</worksheet>
</file>